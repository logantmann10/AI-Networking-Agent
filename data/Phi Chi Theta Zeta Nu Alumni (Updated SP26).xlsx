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Alumni Unfiltered" sheetId="1" r:id="rId5"/>
    <sheet state="visible" name="All Alumni" sheetId="2" r:id="rId6"/>
  </sheets>
  <definedNames/>
  <calcPr/>
</workbook>
</file>

<file path=xl/sharedStrings.xml><?xml version="1.0" encoding="utf-8"?>
<sst xmlns="http://schemas.openxmlformats.org/spreadsheetml/2006/main" count="2067" uniqueCount="1445">
  <si>
    <t>First Name</t>
  </si>
  <si>
    <t>Last Name</t>
  </si>
  <si>
    <t>Phone Number</t>
  </si>
  <si>
    <t>Email</t>
  </si>
  <si>
    <t>Graduation Year</t>
  </si>
  <si>
    <t>Pledge Class</t>
  </si>
  <si>
    <t>Current City</t>
  </si>
  <si>
    <t>Employer</t>
  </si>
  <si>
    <t>Position</t>
  </si>
  <si>
    <t>Emily</t>
  </si>
  <si>
    <t>Fischer</t>
  </si>
  <si>
    <t>(513) 378-6678</t>
  </si>
  <si>
    <t>emily.hagenmaier@gmail.com</t>
  </si>
  <si>
    <t>Alpha</t>
  </si>
  <si>
    <t>Cincinnati</t>
  </si>
  <si>
    <t>GE Aviation</t>
  </si>
  <si>
    <t>Senior Manufacturing Programs Leader</t>
  </si>
  <si>
    <t>Anne</t>
  </si>
  <si>
    <t>Scowden</t>
  </si>
  <si>
    <t>(614) 562-5611</t>
  </si>
  <si>
    <t>anne.scow@yahoo.com</t>
  </si>
  <si>
    <t>Chicago</t>
  </si>
  <si>
    <t>Plante Moran</t>
  </si>
  <si>
    <t>Tax In-charge</t>
  </si>
  <si>
    <t>Tracy</t>
  </si>
  <si>
    <t>Emery</t>
  </si>
  <si>
    <t>(513) 317-3964</t>
  </si>
  <si>
    <t>tracyemery.93@gmail.com</t>
  </si>
  <si>
    <t xml:space="preserve">Bradenton, FL </t>
  </si>
  <si>
    <t>Tropicana Brands Group</t>
  </si>
  <si>
    <t xml:space="preserve">Senior Manager, Supply Chain </t>
  </si>
  <si>
    <t>David</t>
  </si>
  <si>
    <t>Cho</t>
  </si>
  <si>
    <t>(206) 384-9255</t>
  </si>
  <si>
    <t>cho.681@osu.edu</t>
  </si>
  <si>
    <t>Chicago, IL</t>
  </si>
  <si>
    <t>DRW</t>
  </si>
  <si>
    <t xml:space="preserve">Leadership Rotation Network Analyst </t>
  </si>
  <si>
    <t>Paul</t>
  </si>
  <si>
    <t>Guzi</t>
  </si>
  <si>
    <t>(234) 380-7204</t>
  </si>
  <si>
    <t>paul.guzi10@gmail.com</t>
  </si>
  <si>
    <t>Gamma</t>
  </si>
  <si>
    <t>Cleveland</t>
  </si>
  <si>
    <t>Fidelity investments</t>
  </si>
  <si>
    <t>Investment Management consultant</t>
  </si>
  <si>
    <t>Katie</t>
  </si>
  <si>
    <t>Hostler</t>
  </si>
  <si>
    <t>(419) 889-5363</t>
  </si>
  <si>
    <t>khostler11@gmail.com</t>
  </si>
  <si>
    <t>Columbus</t>
  </si>
  <si>
    <t>Woodco Distributing</t>
  </si>
  <si>
    <t>Vice president</t>
  </si>
  <si>
    <t>JaNae</t>
  </si>
  <si>
    <t>Edwards</t>
  </si>
  <si>
    <t>(614) 273-9296</t>
  </si>
  <si>
    <t>edwards.1068@osu.edu</t>
  </si>
  <si>
    <t>Beta</t>
  </si>
  <si>
    <t>Dallas</t>
  </si>
  <si>
    <t>Stylenations</t>
  </si>
  <si>
    <t>Sample Coordinator</t>
  </si>
  <si>
    <t>Brooke</t>
  </si>
  <si>
    <t>Tittle</t>
  </si>
  <si>
    <t>(330) 620-1135</t>
  </si>
  <si>
    <t>btittle.9@gmail.com</t>
  </si>
  <si>
    <t>Zeta</t>
  </si>
  <si>
    <t>Jayna</t>
  </si>
  <si>
    <t>Wolfe</t>
  </si>
  <si>
    <t>(330) 591-1708</t>
  </si>
  <si>
    <t>Jayna.wolfe@gmail.com</t>
  </si>
  <si>
    <t>Peachtree Corners, GA</t>
  </si>
  <si>
    <t>Intuitive</t>
  </si>
  <si>
    <t>Warehouse Manager</t>
  </si>
  <si>
    <t>Rob</t>
  </si>
  <si>
    <t>Hovland</t>
  </si>
  <si>
    <t>(419) 508-2259</t>
  </si>
  <si>
    <t>robfoxriver@gmail.com</t>
  </si>
  <si>
    <t xml:space="preserve">Foster City, CA </t>
  </si>
  <si>
    <t>Zoox</t>
  </si>
  <si>
    <t>Strategic Sourcing Manager</t>
  </si>
  <si>
    <t>Tom</t>
  </si>
  <si>
    <t>Weston</t>
  </si>
  <si>
    <t>(703) 405-8332</t>
  </si>
  <si>
    <t>twest1294@yahoo.com</t>
  </si>
  <si>
    <t>Arlington, VA</t>
  </si>
  <si>
    <t>ECS</t>
  </si>
  <si>
    <t>Corporate Audit &amp; Policies Manager</t>
  </si>
  <si>
    <t>Yves</t>
  </si>
  <si>
    <t>Amornyard</t>
  </si>
  <si>
    <t>(740) 274-3949</t>
  </si>
  <si>
    <t>amornyard.8@gmail.com</t>
  </si>
  <si>
    <t>Epsilon</t>
  </si>
  <si>
    <t>Atlanta, GA</t>
  </si>
  <si>
    <t>Home Depot</t>
  </si>
  <si>
    <t>Senior Client Strategist</t>
  </si>
  <si>
    <t>Renz</t>
  </si>
  <si>
    <t>Amatorio</t>
  </si>
  <si>
    <t>(440) 289-2594</t>
  </si>
  <si>
    <t>amatorior8@gmail.com</t>
  </si>
  <si>
    <t>Brooklyn</t>
  </si>
  <si>
    <t>CoverMyMeds</t>
  </si>
  <si>
    <t>Senior Financial Analyst</t>
  </si>
  <si>
    <t>Meg</t>
  </si>
  <si>
    <t>Guo</t>
  </si>
  <si>
    <t>(773) 793-9610</t>
  </si>
  <si>
    <t>mguo206@gmail.com</t>
  </si>
  <si>
    <t>JP Morgan Chase &amp; Co</t>
  </si>
  <si>
    <t>Nick</t>
  </si>
  <si>
    <t>Setser</t>
  </si>
  <si>
    <t>(513) 505-8934</t>
  </si>
  <si>
    <t>Nick.setser@gmail.com</t>
  </si>
  <si>
    <t>United Airlines</t>
  </si>
  <si>
    <t>Senior Compensation Analyst</t>
  </si>
  <si>
    <t>Jack</t>
  </si>
  <si>
    <t>Laliberte</t>
  </si>
  <si>
    <t>(720) 238-7095</t>
  </si>
  <si>
    <t>jrl395@yahoo.com</t>
  </si>
  <si>
    <t>Journey Wealth</t>
  </si>
  <si>
    <t>Investments Manager</t>
  </si>
  <si>
    <t>Carmen</t>
  </si>
  <si>
    <t>Sabella</t>
  </si>
  <si>
    <t>(330) 592-3352</t>
  </si>
  <si>
    <t>csabella13@yahoo.com</t>
  </si>
  <si>
    <t>EY</t>
  </si>
  <si>
    <t>Assurance Senior Manager</t>
  </si>
  <si>
    <t>Matt</t>
  </si>
  <si>
    <t>O'Connor</t>
  </si>
  <si>
    <t>(901) 412-1531</t>
  </si>
  <si>
    <t>Kimball Midwest</t>
  </si>
  <si>
    <t>Manager-Benefits and Wellness</t>
  </si>
  <si>
    <t>Jon</t>
  </si>
  <si>
    <t>Melfi</t>
  </si>
  <si>
    <t>(513) 535-4594</t>
  </si>
  <si>
    <t>jonmelfi10@gmail.com</t>
  </si>
  <si>
    <t>Denver</t>
  </si>
  <si>
    <t>Hutchison PLLC</t>
  </si>
  <si>
    <t xml:space="preserve">Associate </t>
  </si>
  <si>
    <t>Foy</t>
  </si>
  <si>
    <t>(574) 538-8801</t>
  </si>
  <si>
    <t>nickfoyhomes@gmail.com</t>
  </si>
  <si>
    <t>Elkhart, IN</t>
  </si>
  <si>
    <t>RE/MAX</t>
  </si>
  <si>
    <t xml:space="preserve">Real Estate Agent </t>
  </si>
  <si>
    <t>Kristin</t>
  </si>
  <si>
    <t>George</t>
  </si>
  <si>
    <t>(513) 312-5444</t>
  </si>
  <si>
    <t>george.625@osu.edu</t>
  </si>
  <si>
    <t>Mason, OH</t>
  </si>
  <si>
    <t>Ohio Health</t>
  </si>
  <si>
    <t xml:space="preserve">Clinical Psychologist </t>
  </si>
  <si>
    <t>Rona</t>
  </si>
  <si>
    <t>Jiang</t>
  </si>
  <si>
    <t>(567) 377-3352</t>
  </si>
  <si>
    <t>rona.jiang23@gmail.com</t>
  </si>
  <si>
    <t>New York</t>
  </si>
  <si>
    <t>KKR</t>
  </si>
  <si>
    <t>Tech Product Manager</t>
  </si>
  <si>
    <t>Lim</t>
  </si>
  <si>
    <t>(440) 231-9473</t>
  </si>
  <si>
    <t>drenzolim@gmail.com</t>
  </si>
  <si>
    <t xml:space="preserve">Citi </t>
  </si>
  <si>
    <t xml:space="preserve">Senior Vice President </t>
  </si>
  <si>
    <t>Sierra</t>
  </si>
  <si>
    <t>Martin</t>
  </si>
  <si>
    <t>(207) 347-9458</t>
  </si>
  <si>
    <t>sierrapaige96@gmail.com</t>
  </si>
  <si>
    <t>New York</t>
  </si>
  <si>
    <t>NBA</t>
  </si>
  <si>
    <t>Director, Viewership Innovation</t>
  </si>
  <si>
    <t>Saufi Mohd</t>
  </si>
  <si>
    <t>Nor</t>
  </si>
  <si>
    <t>(614) 531-6097</t>
  </si>
  <si>
    <t>saufimohdnor@gmail.com</t>
  </si>
  <si>
    <t xml:space="preserve">Malaysia </t>
  </si>
  <si>
    <t>Ogilvy</t>
  </si>
  <si>
    <t>Senior Social Media &amp; Influencer Marketing Manager</t>
  </si>
  <si>
    <t>Tristan</t>
  </si>
  <si>
    <t>Singer</t>
  </si>
  <si>
    <t>(937) 508-1062</t>
  </si>
  <si>
    <t>tristan.clark.singer@gmail.com</t>
  </si>
  <si>
    <t>Portland, ME</t>
  </si>
  <si>
    <t>Chenmark</t>
  </si>
  <si>
    <t>Vice President</t>
  </si>
  <si>
    <t>Andrew</t>
  </si>
  <si>
    <t>Shannon</t>
  </si>
  <si>
    <t>(925) 771-0670</t>
  </si>
  <si>
    <t>atshannon523@gmail.com</t>
  </si>
  <si>
    <t>Sacramento, CA</t>
  </si>
  <si>
    <t>BoaVida Group</t>
  </si>
  <si>
    <t>Financial Asset Manager</t>
  </si>
  <si>
    <t>Sydney</t>
  </si>
  <si>
    <t>Sundell</t>
  </si>
  <si>
    <t>(240) 595-4990</t>
  </si>
  <si>
    <t>sydney.sundell@gmail.com</t>
  </si>
  <si>
    <t>San Francisco, CA</t>
  </si>
  <si>
    <t>Databricks</t>
  </si>
  <si>
    <t xml:space="preserve">Product Marketing Growth </t>
  </si>
  <si>
    <t>Aaron</t>
  </si>
  <si>
    <t>Jones</t>
  </si>
  <si>
    <t>(513) 257-1430</t>
  </si>
  <si>
    <t>aaronjpct.ulbnq@8alias.com</t>
  </si>
  <si>
    <t>Casey</t>
  </si>
  <si>
    <t>Li</t>
  </si>
  <si>
    <t>(614) 886-5243</t>
  </si>
  <si>
    <t>li.4422@osu.edu</t>
  </si>
  <si>
    <t>Justin</t>
  </si>
  <si>
    <t>Lun</t>
  </si>
  <si>
    <t>(917) 601-9537</t>
  </si>
  <si>
    <t>Justinrlun@gmail.com</t>
  </si>
  <si>
    <t>Rockwell Automation</t>
  </si>
  <si>
    <t>Secure Digital Operations Sales Executive</t>
  </si>
  <si>
    <t>Mona</t>
  </si>
  <si>
    <t>Zhang</t>
  </si>
  <si>
    <t>(614) 886-5205</t>
  </si>
  <si>
    <t>zhang.4118@osu.edu</t>
  </si>
  <si>
    <t>Michael</t>
  </si>
  <si>
    <t>Korn</t>
  </si>
  <si>
    <t>(847) 714-2861</t>
  </si>
  <si>
    <t>mkorn16@gmail.com</t>
  </si>
  <si>
    <t>Austin, TX</t>
  </si>
  <si>
    <t>RSM</t>
  </si>
  <si>
    <t>Supervisor</t>
  </si>
  <si>
    <t>Stamatis</t>
  </si>
  <si>
    <t>(440) 785-2981</t>
  </si>
  <si>
    <t>nick.j.stamatis@gmail.com</t>
  </si>
  <si>
    <t>Avon Lake, OH</t>
  </si>
  <si>
    <t>Avient Corporation</t>
  </si>
  <si>
    <t>Business Finance Manager</t>
  </si>
  <si>
    <t>Mia</t>
  </si>
  <si>
    <t>Yu</t>
  </si>
  <si>
    <t>(614) 256-5189</t>
  </si>
  <si>
    <t>yu.1371@buckeyemail.osu.edu</t>
  </si>
  <si>
    <t>Theta</t>
  </si>
  <si>
    <t>Beijing, China</t>
  </si>
  <si>
    <t>PwC</t>
  </si>
  <si>
    <t>Assurance Associate</t>
  </si>
  <si>
    <t>Jaime</t>
  </si>
  <si>
    <t>Goode</t>
  </si>
  <si>
    <t>(516) 592-1105</t>
  </si>
  <si>
    <t>jaime.goode@yahoo.com</t>
  </si>
  <si>
    <t>Brooklyn, NY</t>
  </si>
  <si>
    <t>StreetEasy</t>
  </si>
  <si>
    <t>Quant UX Researcher</t>
  </si>
  <si>
    <t>Michelle</t>
  </si>
  <si>
    <t>Lang</t>
  </si>
  <si>
    <t>(630) 362-5350</t>
  </si>
  <si>
    <t>Michklang91195@gmail.com</t>
  </si>
  <si>
    <t>Eta</t>
  </si>
  <si>
    <t>Pinstripes</t>
  </si>
  <si>
    <t>Senior Accountant</t>
  </si>
  <si>
    <t>Jehan</t>
  </si>
  <si>
    <t>Madan</t>
  </si>
  <si>
    <t>(814) 397-3835</t>
  </si>
  <si>
    <t>Madanjeh@gmail.com</t>
  </si>
  <si>
    <t>Deloitte</t>
  </si>
  <si>
    <t>Audit &amp; Assurance Manage</t>
  </si>
  <si>
    <t>Ann</t>
  </si>
  <si>
    <t>Hopkins</t>
  </si>
  <si>
    <t>(440) 409-8841</t>
  </si>
  <si>
    <t>ann.hopkins8@gmail.com</t>
  </si>
  <si>
    <t>Air Products</t>
  </si>
  <si>
    <t xml:space="preserve"> Microbulk Senior Sales Specialist</t>
  </si>
  <si>
    <t>Hollis</t>
  </si>
  <si>
    <t>(440) 610-0575</t>
  </si>
  <si>
    <t>sphol@icloud.com</t>
  </si>
  <si>
    <t>Revolut</t>
  </si>
  <si>
    <t>Account Executive</t>
  </si>
  <si>
    <t>Heather</t>
  </si>
  <si>
    <t>Tucker</t>
  </si>
  <si>
    <t>(440) 728-1814</t>
  </si>
  <si>
    <t>heathertucker1@live.com</t>
  </si>
  <si>
    <t>Bath &amp; Body Works</t>
  </si>
  <si>
    <t>Operations Manager</t>
  </si>
  <si>
    <t>Erik</t>
  </si>
  <si>
    <t>Schommer</t>
  </si>
  <si>
    <t>(570) 504-4164</t>
  </si>
  <si>
    <t>erik.schommer@zoom.us</t>
  </si>
  <si>
    <t>Delta</t>
  </si>
  <si>
    <t>Zoom</t>
  </si>
  <si>
    <t>Customer Success Manager</t>
  </si>
  <si>
    <t>Davis</t>
  </si>
  <si>
    <t>Day</t>
  </si>
  <si>
    <t>(734) 476-7863</t>
  </si>
  <si>
    <t>dday4226@gmail.com</t>
  </si>
  <si>
    <t>Grand Rapids, MI</t>
  </si>
  <si>
    <t>Meijer</t>
  </si>
  <si>
    <t>Merchandise Business Analyst</t>
  </si>
  <si>
    <t>Leigh Anne (Lou)</t>
  </si>
  <si>
    <t>Strecker</t>
  </si>
  <si>
    <t>(913) 299-7068</t>
  </si>
  <si>
    <t>leighannestrecker@gmail.com</t>
  </si>
  <si>
    <t>Kansas City</t>
  </si>
  <si>
    <t>Morton Salt</t>
  </si>
  <si>
    <t>Senior Associate Brand Manager</t>
  </si>
  <si>
    <t>Gavin</t>
  </si>
  <si>
    <t>Bridegum</t>
  </si>
  <si>
    <t>(440) 665-7233</t>
  </si>
  <si>
    <t>gbridegum@gmail.com</t>
  </si>
  <si>
    <t>Amazon</t>
  </si>
  <si>
    <t>Delivery Station Manager</t>
  </si>
  <si>
    <t>Ashley</t>
  </si>
  <si>
    <t>Bryk</t>
  </si>
  <si>
    <t>(440) 799-3388</t>
  </si>
  <si>
    <t>ashleybryk@gmail.com</t>
  </si>
  <si>
    <t xml:space="preserve"> Formerly Club Monaco</t>
  </si>
  <si>
    <t>Project Manager</t>
  </si>
  <si>
    <t>Viola</t>
  </si>
  <si>
    <t>(914) 346-7833</t>
  </si>
  <si>
    <t>Naviola43@gmail.com</t>
  </si>
  <si>
    <t>Loeb Partners Realty</t>
  </si>
  <si>
    <t>Property Accountant</t>
  </si>
  <si>
    <t>Tim</t>
  </si>
  <si>
    <t>Kelly</t>
  </si>
  <si>
    <t>(631) 972-7928</t>
  </si>
  <si>
    <t>Tfkelly96@gmail.com</t>
  </si>
  <si>
    <t>New York, NY</t>
  </si>
  <si>
    <t>Brookfield Asset Management</t>
  </si>
  <si>
    <t>Manager</t>
  </si>
  <si>
    <t>Garth</t>
  </si>
  <si>
    <t>Bennett</t>
  </si>
  <si>
    <t>(216) 233-7801</t>
  </si>
  <si>
    <t>garthbennett96@gmail.com</t>
  </si>
  <si>
    <t>San Francisco</t>
  </si>
  <si>
    <t>Apple</t>
  </si>
  <si>
    <t>Lead Financial Analyst</t>
  </si>
  <si>
    <t>Jerry</t>
  </si>
  <si>
    <t>Swanson</t>
  </si>
  <si>
    <t>(847) 702-0855</t>
  </si>
  <si>
    <t>swansong0930@gmail.com</t>
  </si>
  <si>
    <t>Washington DC</t>
  </si>
  <si>
    <t>Freddie Mac</t>
  </si>
  <si>
    <t>Affordable Lending Senior</t>
  </si>
  <si>
    <t>Lisa</t>
  </si>
  <si>
    <t>Lee</t>
  </si>
  <si>
    <t>(614) 285-1741</t>
  </si>
  <si>
    <t>lisa96lee@gmail.com</t>
  </si>
  <si>
    <t>Atlanta, GA</t>
  </si>
  <si>
    <t>Sr. Delivery Specialist of Orchestration</t>
  </si>
  <si>
    <t>Megan</t>
  </si>
  <si>
    <t>Sonderman</t>
  </si>
  <si>
    <t>(614) 648-1039</t>
  </si>
  <si>
    <t>megansonderman@gmail.com</t>
  </si>
  <si>
    <t>Ben</t>
  </si>
  <si>
    <t>York</t>
  </si>
  <si>
    <t>(513) 340-1833</t>
  </si>
  <si>
    <t>bgyork1996@gmail.com</t>
  </si>
  <si>
    <t>Beaverton, OR</t>
  </si>
  <si>
    <t>Nike</t>
  </si>
  <si>
    <t>Social &amp; Community Impact Operations Analyst</t>
  </si>
  <si>
    <t>Jessie</t>
  </si>
  <si>
    <t>Wang</t>
  </si>
  <si>
    <t>(607) 738-1111</t>
  </si>
  <si>
    <t>jwang7835@gmail.com</t>
  </si>
  <si>
    <t>Iota</t>
  </si>
  <si>
    <t>Coast</t>
  </si>
  <si>
    <t>Product Marketing</t>
  </si>
  <si>
    <t>Cailin</t>
  </si>
  <si>
    <t>Downie</t>
  </si>
  <si>
    <t>(330) 774-8170</t>
  </si>
  <si>
    <t>Cedownie228@gmail.com</t>
  </si>
  <si>
    <t>Charlotte, NC</t>
  </si>
  <si>
    <t>Compass Group</t>
  </si>
  <si>
    <t>Manger, Quality and Controls</t>
  </si>
  <si>
    <t>Boston</t>
  </si>
  <si>
    <t>Waltz</t>
  </si>
  <si>
    <t>(330) 987-3845</t>
  </si>
  <si>
    <t>Waltzb0@gmail.com</t>
  </si>
  <si>
    <t>Charlotte, NC</t>
  </si>
  <si>
    <t>Honeywell</t>
  </si>
  <si>
    <t>Sr. Finance Manager - PPE</t>
  </si>
  <si>
    <t>Gloria</t>
  </si>
  <si>
    <t>Hu</t>
  </si>
  <si>
    <t>(513) 846-6056</t>
  </si>
  <si>
    <t>gloriahu1174@gmail.com</t>
  </si>
  <si>
    <t>Branch</t>
  </si>
  <si>
    <t>Associate actuary</t>
  </si>
  <si>
    <t>Carly</t>
  </si>
  <si>
    <t>Smith</t>
  </si>
  <si>
    <t>(815) 566-6262</t>
  </si>
  <si>
    <t>smith.10666@osu.edu</t>
  </si>
  <si>
    <t>Cyber, Risk &amp; Regulatory Manager</t>
  </si>
  <si>
    <t>Jenny</t>
  </si>
  <si>
    <t>Zheng</t>
  </si>
  <si>
    <t>(917) 655-0606</t>
  </si>
  <si>
    <t>jennyzheng.15@gmail.com</t>
  </si>
  <si>
    <t>Audit and Assurance Manager</t>
  </si>
  <si>
    <t>Mary</t>
  </si>
  <si>
    <t>Basler (Cengel)</t>
  </si>
  <si>
    <t>(513) 885-8087</t>
  </si>
  <si>
    <t>Mary.basler23@gmail.com</t>
  </si>
  <si>
    <t>Paycor</t>
  </si>
  <si>
    <t>Regional Sales Director</t>
  </si>
  <si>
    <t>Meghan</t>
  </si>
  <si>
    <t>Sandy</t>
  </si>
  <si>
    <t>(859) 402-4870</t>
  </si>
  <si>
    <t>Mlsandy13@att.net</t>
  </si>
  <si>
    <t>84.51 (Kroger)</t>
  </si>
  <si>
    <t>Senior Business Acceleration Consultant</t>
  </si>
  <si>
    <t>Erica</t>
  </si>
  <si>
    <t>Yuan</t>
  </si>
  <si>
    <t>(858) 880-5836</t>
  </si>
  <si>
    <t>yuan.e@pg.com</t>
  </si>
  <si>
    <t>P &amp; G</t>
  </si>
  <si>
    <t>Brand Director, Downy Rinse</t>
  </si>
  <si>
    <t>Ryan</t>
  </si>
  <si>
    <t>Patrick</t>
  </si>
  <si>
    <t>(330) 931-2044</t>
  </si>
  <si>
    <t>Ryanspatrick0@gmail.com</t>
  </si>
  <si>
    <t>Progressive Insurance</t>
  </si>
  <si>
    <t>Senior Data Analyst</t>
  </si>
  <si>
    <t>Emma</t>
  </si>
  <si>
    <t>Round</t>
  </si>
  <si>
    <t>(330) 5730318</t>
  </si>
  <si>
    <t>emmaround17@outlook.com</t>
  </si>
  <si>
    <t>Senior Accountant, Financial Systems</t>
  </si>
  <si>
    <t>Jacob</t>
  </si>
  <si>
    <t>Bowers</t>
  </si>
  <si>
    <t>(440) 387-9461</t>
  </si>
  <si>
    <t>Jakebowers78@yahoo.com</t>
  </si>
  <si>
    <t>Hilton Head Island</t>
  </si>
  <si>
    <t>The Golf Apparel Shop</t>
  </si>
  <si>
    <t>Store Manager</t>
  </si>
  <si>
    <t>Chandler</t>
  </si>
  <si>
    <t>Ross</t>
  </si>
  <si>
    <t>(310) 569-1334</t>
  </si>
  <si>
    <t>chanross12997@gmail.com</t>
  </si>
  <si>
    <t>Los Angeles</t>
  </si>
  <si>
    <t>UM Worldwide</t>
  </si>
  <si>
    <t>Senior Associate, Planner</t>
  </si>
  <si>
    <t>Grant</t>
  </si>
  <si>
    <t>Luby</t>
  </si>
  <si>
    <t>(740) 243-3933</t>
  </si>
  <si>
    <t>grantluby@gmail.com</t>
  </si>
  <si>
    <t>New Albany, OH</t>
  </si>
  <si>
    <t>Bath and Body Works</t>
  </si>
  <si>
    <t>Operations Supervisor</t>
  </si>
  <si>
    <t>Jesse</t>
  </si>
  <si>
    <t>Liberatore</t>
  </si>
  <si>
    <t>(631) 662-8895</t>
  </si>
  <si>
    <t>Jesselib321@gmail.com</t>
  </si>
  <si>
    <t>Citizens Debt Relief</t>
  </si>
  <si>
    <t>Senior Financial Consultant</t>
  </si>
  <si>
    <t>Adela</t>
  </si>
  <si>
    <t>Pang</t>
  </si>
  <si>
    <t>(614) 743-8877</t>
  </si>
  <si>
    <t>panadela@gmail.com</t>
  </si>
  <si>
    <t>New York Univesrity</t>
  </si>
  <si>
    <t>Full Time MBA Student</t>
  </si>
  <si>
    <t>Rakshita</t>
  </si>
  <si>
    <t>Rajan</t>
  </si>
  <si>
    <t>(630) 730-9670</t>
  </si>
  <si>
    <t>rajanrakshitha@gmail.com</t>
  </si>
  <si>
    <t>Finance Strategy Senior Consultant</t>
  </si>
  <si>
    <t>Abby</t>
  </si>
  <si>
    <t>Cummings</t>
  </si>
  <si>
    <t>(412) 303-4847</t>
  </si>
  <si>
    <t>Alcummings297@gmail.com</t>
  </si>
  <si>
    <t xml:space="preserve">Finance Associate </t>
  </si>
  <si>
    <t>Lauren</t>
  </si>
  <si>
    <t>Lapid</t>
  </si>
  <si>
    <t>(740) 418-0558</t>
  </si>
  <si>
    <t>Laurenelapid@gmail.com</t>
  </si>
  <si>
    <t>Orlando, FL</t>
  </si>
  <si>
    <t>Walt Disney Company</t>
  </si>
  <si>
    <t>Sr. Franchise Strategy Manager</t>
  </si>
  <si>
    <t>Christina</t>
  </si>
  <si>
    <t>Gu</t>
  </si>
  <si>
    <t>(513) 364-3223</t>
  </si>
  <si>
    <t>gu.christina22@gmail.com</t>
  </si>
  <si>
    <t>Philadelphia, PA</t>
  </si>
  <si>
    <t>Vanguard</t>
  </si>
  <si>
    <t>International FP&amp;A Analyst</t>
  </si>
  <si>
    <t>Lucas</t>
  </si>
  <si>
    <t>(724) 554-4831</t>
  </si>
  <si>
    <t>elucas2015@gmail.com</t>
  </si>
  <si>
    <t>Washington D.C.</t>
  </si>
  <si>
    <t>Federal Reserve Board</t>
  </si>
  <si>
    <t>Program Manager</t>
  </si>
  <si>
    <t>Lewis</t>
  </si>
  <si>
    <t>Mackie</t>
  </si>
  <si>
    <t>(419) 701-8108</t>
  </si>
  <si>
    <t>lewismackie21@gmail.com</t>
  </si>
  <si>
    <t>Los Angeles, CA</t>
  </si>
  <si>
    <t>N/A, doing freelance production work</t>
  </si>
  <si>
    <t>Associate Producer</t>
  </si>
  <si>
    <t>Alles</t>
  </si>
  <si>
    <t>(414) 975-7303</t>
  </si>
  <si>
    <t>jonathanalles5@gmail.com</t>
  </si>
  <si>
    <t>Boston Consulting Group (BCG)</t>
  </si>
  <si>
    <t>Project Leader</t>
  </si>
  <si>
    <t>Jeff</t>
  </si>
  <si>
    <t>Graf</t>
  </si>
  <si>
    <t>(630) 470-3294</t>
  </si>
  <si>
    <t>jwvgraf@gmail.com</t>
  </si>
  <si>
    <t>Assurance Senior Associate</t>
  </si>
  <si>
    <t>Tori</t>
  </si>
  <si>
    <t>Morell</t>
  </si>
  <si>
    <t>(614) 357-5208</t>
  </si>
  <si>
    <t>tormor98@gmail.com</t>
  </si>
  <si>
    <t>Kappa</t>
  </si>
  <si>
    <t>Multifamily Underwriting Senior Analyst</t>
  </si>
  <si>
    <t>Nedilsky</t>
  </si>
  <si>
    <t>(201) 815-9908</t>
  </si>
  <si>
    <t>Mnedilsky@yahoo.com</t>
  </si>
  <si>
    <t>Walgreens</t>
  </si>
  <si>
    <t>Senior Supply Chain Data Governace Quality Analyst</t>
  </si>
  <si>
    <t>Neel</t>
  </si>
  <si>
    <t>Patel</t>
  </si>
  <si>
    <t>(630) 765-2314</t>
  </si>
  <si>
    <t>Neelp2017@gmail.com</t>
  </si>
  <si>
    <t>DLA, LLC</t>
  </si>
  <si>
    <t>Senior Associate</t>
  </si>
  <si>
    <t>Jeremy</t>
  </si>
  <si>
    <t>Schatz</t>
  </si>
  <si>
    <t>(716) 698-4870</t>
  </si>
  <si>
    <t>jmschat1@gmail.com</t>
  </si>
  <si>
    <t>Senior Assurance Associate</t>
  </si>
  <si>
    <t>Kevin</t>
  </si>
  <si>
    <t>Scherer</t>
  </si>
  <si>
    <t>(224) 935-2953</t>
  </si>
  <si>
    <t xml:space="preserve"> kscherer177@gmail.com</t>
  </si>
  <si>
    <t>Northern Trust</t>
  </si>
  <si>
    <t>Senior Fund Accountant</t>
  </si>
  <si>
    <t>Maneesh</t>
  </si>
  <si>
    <t>Somisetty</t>
  </si>
  <si>
    <t>(630) 703-9035</t>
  </si>
  <si>
    <t>maneesh.somisetty@gmail.com</t>
  </si>
  <si>
    <t>Orveon Global</t>
  </si>
  <si>
    <t>Associate FP&amp;A Manager- International Sales Analyst</t>
  </si>
  <si>
    <t>Ruby</t>
  </si>
  <si>
    <t>Xun</t>
  </si>
  <si>
    <t>(440) 429-7012</t>
  </si>
  <si>
    <t>xunruby@gmail.com</t>
  </si>
  <si>
    <t>Accenture</t>
  </si>
  <si>
    <t>Former Innovation Consultant</t>
  </si>
  <si>
    <t>Angela</t>
  </si>
  <si>
    <t>(614) 401-9865</t>
  </si>
  <si>
    <t>anzhang@hcg.com</t>
  </si>
  <si>
    <t>Huron Consulting Group</t>
  </si>
  <si>
    <t>Healthcare Associate</t>
  </si>
  <si>
    <t>Cassie</t>
  </si>
  <si>
    <t>Ziance</t>
  </si>
  <si>
    <t>(614) 406-8937</t>
  </si>
  <si>
    <t>Cassandraziance@gmail.com</t>
  </si>
  <si>
    <t>Calzada Capital Partners</t>
  </si>
  <si>
    <t>Mitchell</t>
  </si>
  <si>
    <t>(513) 255-5900</t>
  </si>
  <si>
    <t>Casey.mitchell19@yahoo.com</t>
  </si>
  <si>
    <t>Standard Textile</t>
  </si>
  <si>
    <t>Former Program Manager</t>
  </si>
  <si>
    <t>Ashdown</t>
  </si>
  <si>
    <t>(440) 409-6850</t>
  </si>
  <si>
    <t>ryanashdown10@gmail.com</t>
  </si>
  <si>
    <t>WTWH Media</t>
  </si>
  <si>
    <t>B2B Marketing &amp; Advertising Regional Sales Manager</t>
  </si>
  <si>
    <t>Gabi</t>
  </si>
  <si>
    <t>Bewie</t>
  </si>
  <si>
    <t>(440) 915-0865</t>
  </si>
  <si>
    <t>bewiegr@gmail.com</t>
  </si>
  <si>
    <t>Key Bank</t>
  </si>
  <si>
    <t>Vice President, Commercial Bank Strategy Manager</t>
  </si>
  <si>
    <t>Nicole</t>
  </si>
  <si>
    <t>Bell</t>
  </si>
  <si>
    <t>(440) 554-1668</t>
  </si>
  <si>
    <t>nicole_e_bell@outlook.com</t>
  </si>
  <si>
    <t>Charlie</t>
  </si>
  <si>
    <t>Carey</t>
  </si>
  <si>
    <t>(216) 772-9251</t>
  </si>
  <si>
    <t>ctcarey1998@yahoo.com</t>
  </si>
  <si>
    <t xml:space="preserve">WTWH Media </t>
  </si>
  <si>
    <t>Sales Director</t>
  </si>
  <si>
    <t>TJ</t>
  </si>
  <si>
    <t>Cifuentes</t>
  </si>
  <si>
    <t>(513) 594-3094</t>
  </si>
  <si>
    <t>Tjcifuentes23@gmail.com</t>
  </si>
  <si>
    <t>Worthington Steel</t>
  </si>
  <si>
    <t>Supply Chain Analyst</t>
  </si>
  <si>
    <t>Stephanie</t>
  </si>
  <si>
    <t>Gowin</t>
  </si>
  <si>
    <t>(330) 317-3684</t>
  </si>
  <si>
    <t>Gowinstephanie@yahoo.com</t>
  </si>
  <si>
    <t>Cameron Mitchell Restaurants</t>
  </si>
  <si>
    <t>Payroll Coordinator</t>
  </si>
  <si>
    <t>Sloan</t>
  </si>
  <si>
    <t>(614) 302-3704</t>
  </si>
  <si>
    <t>spauline109@gmail.com</t>
  </si>
  <si>
    <t>RSM US LLP</t>
  </si>
  <si>
    <t>Gitu</t>
  </si>
  <si>
    <t>Ajay</t>
  </si>
  <si>
    <t>(510) 579-9105</t>
  </si>
  <si>
    <t>gitu.apm@gmail.com</t>
  </si>
  <si>
    <t>American Airlines</t>
  </si>
  <si>
    <t>Senior Analyst</t>
  </si>
  <si>
    <t>Micah</t>
  </si>
  <si>
    <t>Miller</t>
  </si>
  <si>
    <t>(614) 596-5474</t>
  </si>
  <si>
    <t>miller.8670@osu.edu</t>
  </si>
  <si>
    <t>Durham, NC</t>
  </si>
  <si>
    <t>Fidelity Investments</t>
  </si>
  <si>
    <t>Investment Consultant</t>
  </si>
  <si>
    <t>Davies</t>
  </si>
  <si>
    <t>(440) 773-3314</t>
  </si>
  <si>
    <t>nicole_m_davies@yahoo.com</t>
  </si>
  <si>
    <t>Houston, TX</t>
  </si>
  <si>
    <t>Locke Lord LLP</t>
  </si>
  <si>
    <t>Corporate/Mergers &amp; Acquisitions Associate Attornery</t>
  </si>
  <si>
    <t>Eric</t>
  </si>
  <si>
    <t>Sun</t>
  </si>
  <si>
    <t>(614) 561-5098</t>
  </si>
  <si>
    <t>Ericsun228@gmail.com</t>
  </si>
  <si>
    <t xml:space="preserve">Los Angeles </t>
  </si>
  <si>
    <t>Netflix</t>
  </si>
  <si>
    <t>Content Programming Strategy Associate</t>
  </si>
  <si>
    <t>Rachel</t>
  </si>
  <si>
    <t>Parsons</t>
  </si>
  <si>
    <t>(440) 413-8521</t>
  </si>
  <si>
    <t>ra.goldst@gmail.com</t>
  </si>
  <si>
    <t>The Wonderful Company</t>
  </si>
  <si>
    <t>Learning &amp; Organizational Development Coordinator</t>
  </si>
  <si>
    <t>(614) 937-4216</t>
  </si>
  <si>
    <t>michk1993@gmail.com</t>
  </si>
  <si>
    <t>Houlihan Lokey</t>
  </si>
  <si>
    <t>Senior Business System Analyst</t>
  </si>
  <si>
    <t>Alex</t>
  </si>
  <si>
    <t>Ikezawa</t>
  </si>
  <si>
    <t>(440) 241-8350</t>
  </si>
  <si>
    <t>alex.ikezawa@bain.com</t>
  </si>
  <si>
    <t>National Trust for Local News</t>
  </si>
  <si>
    <t>Director of Strategy</t>
  </si>
  <si>
    <t>Mackenzie</t>
  </si>
  <si>
    <t>(631) 487-5224</t>
  </si>
  <si>
    <t>Mackenziekelly4@gmail.com</t>
  </si>
  <si>
    <t>Lacoste</t>
  </si>
  <si>
    <t>Senior Inventory Planner</t>
  </si>
  <si>
    <t>Melissa</t>
  </si>
  <si>
    <t>Liang</t>
  </si>
  <si>
    <t>(1419) 450-1983</t>
  </si>
  <si>
    <t>Melissaliang1@gmail.com</t>
  </si>
  <si>
    <t>M&amp;A Advisory Senior Associate</t>
  </si>
  <si>
    <t>Sam</t>
  </si>
  <si>
    <t>Garver</t>
  </si>
  <si>
    <t>(513) 709-9664</t>
  </si>
  <si>
    <t>Samgarver12@gmail.com</t>
  </si>
  <si>
    <t>N/A</t>
  </si>
  <si>
    <t>Olivia</t>
  </si>
  <si>
    <t>Johnson</t>
  </si>
  <si>
    <t>(651) 767-2017</t>
  </si>
  <si>
    <t>ojohnson5001@gmail.com</t>
  </si>
  <si>
    <t>Boston, MA</t>
  </si>
  <si>
    <t xml:space="preserve">Area Manager II </t>
  </si>
  <si>
    <t>Jonathan</t>
  </si>
  <si>
    <t>McCollough</t>
  </si>
  <si>
    <t>(513) 532-2521</t>
  </si>
  <si>
    <t>jjmccollough@gmail.com</t>
  </si>
  <si>
    <t>Red Oak Sourcing (Cardinal Health)</t>
  </si>
  <si>
    <t>Advisor, Deal Management</t>
  </si>
  <si>
    <t>Julia</t>
  </si>
  <si>
    <t>(614) 961-2396</t>
  </si>
  <si>
    <t>jlgrant1999@gmail.com</t>
  </si>
  <si>
    <t>Siena</t>
  </si>
  <si>
    <t>Schuth</t>
  </si>
  <si>
    <t>(630) 805-1260</t>
  </si>
  <si>
    <t>schutsie000@gmail.com</t>
  </si>
  <si>
    <t>Lambda</t>
  </si>
  <si>
    <t>Morgan/Harbour Construction</t>
  </si>
  <si>
    <t>Senior Project Accountant</t>
  </si>
  <si>
    <t>Johnny</t>
  </si>
  <si>
    <t>Velotta</t>
  </si>
  <si>
    <t>(216) 406-3099</t>
  </si>
  <si>
    <t>velotta.14@osu.edu</t>
  </si>
  <si>
    <t>Duy Khanh</t>
  </si>
  <si>
    <t>Trinh</t>
  </si>
  <si>
    <t>(318) 541-3838</t>
  </si>
  <si>
    <t>dkhanh10@gmail.com</t>
  </si>
  <si>
    <t>GE Aerospace</t>
  </si>
  <si>
    <t>Operational Finance Leadership Program</t>
  </si>
  <si>
    <t>Hailey</t>
  </si>
  <si>
    <t>Donato</t>
  </si>
  <si>
    <t>(216) 633-6063</t>
  </si>
  <si>
    <t>haileydonato@yahoo.com</t>
  </si>
  <si>
    <t>Acuity Brands</t>
  </si>
  <si>
    <t>Human Reource Analyst</t>
  </si>
  <si>
    <t>Childs</t>
  </si>
  <si>
    <t>(330) 998-3294</t>
  </si>
  <si>
    <t>childs.146@osu.edu</t>
  </si>
  <si>
    <t>Lindsay</t>
  </si>
  <si>
    <t>Tacy</t>
  </si>
  <si>
    <t>(513) 582-5589</t>
  </si>
  <si>
    <t>Lmtacy@gmail.com</t>
  </si>
  <si>
    <t>Nisource</t>
  </si>
  <si>
    <t>Financial Planning Analyst</t>
  </si>
  <si>
    <t>Kennard</t>
  </si>
  <si>
    <t>(614) 787-4177</t>
  </si>
  <si>
    <t>Katherine.e.kennard@gmail.com</t>
  </si>
  <si>
    <t>Dublin, OH</t>
  </si>
  <si>
    <t>JP Morgan Chase</t>
  </si>
  <si>
    <t>Vice President of Product Market Strategy</t>
  </si>
  <si>
    <t>Vrushali</t>
  </si>
  <si>
    <t>Borde</t>
  </si>
  <si>
    <t>(614) 440-8715</t>
  </si>
  <si>
    <t>Vrush.Borde@gmail.com</t>
  </si>
  <si>
    <t>Miami</t>
  </si>
  <si>
    <t>Senior Consulting Analyst</t>
  </si>
  <si>
    <t>Aurora</t>
  </si>
  <si>
    <t>Fleming</t>
  </si>
  <si>
    <t>(440) 865-1224</t>
  </si>
  <si>
    <t>aurorafleming@gmail.com</t>
  </si>
  <si>
    <t>Nashville</t>
  </si>
  <si>
    <t>Vanderbilt University</t>
  </si>
  <si>
    <t>Graduate Student</t>
  </si>
  <si>
    <t>Marks</t>
  </si>
  <si>
    <t>(216) 870-7037</t>
  </si>
  <si>
    <t>abbysmarks@gmail.com</t>
  </si>
  <si>
    <t>Sumitomo Mitsui Banking Corparation</t>
  </si>
  <si>
    <t>Subscription Secured Finance Analyst</t>
  </si>
  <si>
    <t>Evan</t>
  </si>
  <si>
    <t>(516) 319-2713</t>
  </si>
  <si>
    <t>ross.1489@osu.edu</t>
  </si>
  <si>
    <t>Sage Realty Corporation</t>
  </si>
  <si>
    <t>Senior Asset Management Associate</t>
  </si>
  <si>
    <t>Henry</t>
  </si>
  <si>
    <t>Wong</t>
  </si>
  <si>
    <t>(937) 414-3165</t>
  </si>
  <si>
    <t>wong.777@osu.edu</t>
  </si>
  <si>
    <t>Mu</t>
  </si>
  <si>
    <t>Crowe</t>
  </si>
  <si>
    <t>Senior Manufacturing and Distribution Consultant</t>
  </si>
  <si>
    <t>Kensey</t>
  </si>
  <si>
    <t>Gianettino</t>
  </si>
  <si>
    <t>(614) 725-6755</t>
  </si>
  <si>
    <t>kenseyg8@gmail.com</t>
  </si>
  <si>
    <t>Reynoldsburg, OH</t>
  </si>
  <si>
    <t>Chick-fil-a</t>
  </si>
  <si>
    <t>Director of Leadership Development</t>
  </si>
  <si>
    <t>Tyler</t>
  </si>
  <si>
    <t>Brown</t>
  </si>
  <si>
    <t>(614) 499-1064</t>
  </si>
  <si>
    <t>browntyler1315@gmail.com</t>
  </si>
  <si>
    <t>Crowe LLP</t>
  </si>
  <si>
    <t>Audit Senior Associate</t>
  </si>
  <si>
    <t>Caitlyn</t>
  </si>
  <si>
    <t>Villamaria</t>
  </si>
  <si>
    <t>(231) 690-1129</t>
  </si>
  <si>
    <t>caitlynvillamaria@gmail.com</t>
  </si>
  <si>
    <t>San Francisco</t>
  </si>
  <si>
    <t>JP Morgan</t>
  </si>
  <si>
    <t>Associate</t>
  </si>
  <si>
    <t>Hanna</t>
  </si>
  <si>
    <t>Stolzer</t>
  </si>
  <si>
    <t>(216) 401-5202</t>
  </si>
  <si>
    <t>Hannarstolzer@gmail.com</t>
  </si>
  <si>
    <t>ACLU</t>
  </si>
  <si>
    <t>Social Media Manager</t>
  </si>
  <si>
    <t>Cassi</t>
  </si>
  <si>
    <t>Kehres</t>
  </si>
  <si>
    <t>(513) 518-9585</t>
  </si>
  <si>
    <t>kehres.42@osu.edu</t>
  </si>
  <si>
    <t>Wilmington, NC</t>
  </si>
  <si>
    <t>Thermo Fisher Scientific</t>
  </si>
  <si>
    <t>Financial Analyst III</t>
  </si>
  <si>
    <t>Mitchel</t>
  </si>
  <si>
    <t>Lutz</t>
  </si>
  <si>
    <t>(513) 562-7704</t>
  </si>
  <si>
    <t>mitchlutz9@gmail.com</t>
  </si>
  <si>
    <t>Nu</t>
  </si>
  <si>
    <t>Duck Camp</t>
  </si>
  <si>
    <t>Associate Product Developer</t>
  </si>
  <si>
    <t>Alyssa</t>
  </si>
  <si>
    <t>Behrend</t>
  </si>
  <si>
    <t>(440) 867-6778</t>
  </si>
  <si>
    <t>behrendal@outlook.com</t>
  </si>
  <si>
    <t>Omicron</t>
  </si>
  <si>
    <t>Kraft Heinz Not Company</t>
  </si>
  <si>
    <t>Senior Sales Analyst</t>
  </si>
  <si>
    <t>Richard</t>
  </si>
  <si>
    <t>Camp</t>
  </si>
  <si>
    <t>(440) 417-6625</t>
  </si>
  <si>
    <t>Richardfcamp@gmail.com</t>
  </si>
  <si>
    <t>Associate Consultant</t>
  </si>
  <si>
    <t>Howe</t>
  </si>
  <si>
    <t>(267) 907-6579</t>
  </si>
  <si>
    <t>evanrhowe@yahoo.com</t>
  </si>
  <si>
    <t>Havas Media Network</t>
  </si>
  <si>
    <t>Buyer, Digital Investment</t>
  </si>
  <si>
    <t>Kate</t>
  </si>
  <si>
    <t>McCarthy</t>
  </si>
  <si>
    <t>(513) 442-9760</t>
  </si>
  <si>
    <t>Kate.mccarthy0101@gmail.com</t>
  </si>
  <si>
    <t>Capgemini</t>
  </si>
  <si>
    <t>Associate consultant</t>
  </si>
  <si>
    <t>Natalie</t>
  </si>
  <si>
    <t>Moore</t>
  </si>
  <si>
    <t>(440) 452-0877</t>
  </si>
  <si>
    <t>nataliemoore5@hotmail.com</t>
  </si>
  <si>
    <t>Cision</t>
  </si>
  <si>
    <t>Account Manager</t>
  </si>
  <si>
    <t>Ritika</t>
  </si>
  <si>
    <t>Reddy</t>
  </si>
  <si>
    <t>(304) 919-5670</t>
  </si>
  <si>
    <t>ritikareddy77@gmail.com</t>
  </si>
  <si>
    <t>Xi</t>
  </si>
  <si>
    <t>LaSalle Investment Management</t>
  </si>
  <si>
    <t>Audit and Assurance Senior</t>
  </si>
  <si>
    <t>JT</t>
  </si>
  <si>
    <t>Daniel</t>
  </si>
  <si>
    <t>(419) 913-6046</t>
  </si>
  <si>
    <t>Jtdaniel7@gmail.com</t>
  </si>
  <si>
    <t>S&amp;D Capital Financial Advisors</t>
  </si>
  <si>
    <t>Controller</t>
  </si>
  <si>
    <t>Fioritto</t>
  </si>
  <si>
    <t>(440) 855-7169</t>
  </si>
  <si>
    <t>Nataliefioritto@gmail.com</t>
  </si>
  <si>
    <t>JM Smucker</t>
  </si>
  <si>
    <t>Associate Sourcing Manager</t>
  </si>
  <si>
    <t>Erika</t>
  </si>
  <si>
    <t>Petersen</t>
  </si>
  <si>
    <t>(440) 665-3220</t>
  </si>
  <si>
    <t>erikapetersen6@gmail.com</t>
  </si>
  <si>
    <t>Avaap</t>
  </si>
  <si>
    <t>Organizational Change Management Consultant</t>
  </si>
  <si>
    <t>RC</t>
  </si>
  <si>
    <t>Brandes</t>
  </si>
  <si>
    <t>(614) 949-9157</t>
  </si>
  <si>
    <t>rcbrandes5@gmail.com</t>
  </si>
  <si>
    <t>Abercrombie &amp; Fitch Co.</t>
  </si>
  <si>
    <t>Assistant Merchandise Planner</t>
  </si>
  <si>
    <t>Fox</t>
  </si>
  <si>
    <t>(216) 410-7879</t>
  </si>
  <si>
    <t>Mfox0724@gmail.com</t>
  </si>
  <si>
    <t>GFBM Analyst</t>
  </si>
  <si>
    <t>Charlotte</t>
  </si>
  <si>
    <t>Kane</t>
  </si>
  <si>
    <t>(330) 861-8183</t>
  </si>
  <si>
    <t>charkane24@gmail.com</t>
  </si>
  <si>
    <t>Law Student</t>
  </si>
  <si>
    <t>Moritz College of Law, The Ohio State University</t>
  </si>
  <si>
    <t>Menchey</t>
  </si>
  <si>
    <t>(717) 885-6699</t>
  </si>
  <si>
    <t>mencheyryan@gmail.com</t>
  </si>
  <si>
    <t>Under Armour</t>
  </si>
  <si>
    <t>Sales &amp; Operations</t>
  </si>
  <si>
    <t>Morris</t>
  </si>
  <si>
    <t>(949) 878-6901</t>
  </si>
  <si>
    <t>stephaniemorris101@gmail.com</t>
  </si>
  <si>
    <t>Colliers</t>
  </si>
  <si>
    <t>Senior Research Analyst</t>
  </si>
  <si>
    <t>Roth</t>
  </si>
  <si>
    <t>(413) 805-5180</t>
  </si>
  <si>
    <t>daniel.roth.604@gmail.com</t>
  </si>
  <si>
    <t>Medline</t>
  </si>
  <si>
    <t>Associate Product Manager</t>
  </si>
  <si>
    <t>Annmarie</t>
  </si>
  <si>
    <t>(330) 666-0808</t>
  </si>
  <si>
    <t>annmarie.sabella@yahoo.com</t>
  </si>
  <si>
    <t>Cardinal Health</t>
  </si>
  <si>
    <t>Product Manager</t>
  </si>
  <si>
    <t>Sydnie</t>
  </si>
  <si>
    <t>Truesdale</t>
  </si>
  <si>
    <t>(419) 296-9614</t>
  </si>
  <si>
    <t>Sydnie.truesdale@gmail.com</t>
  </si>
  <si>
    <t>Business Consultant</t>
  </si>
  <si>
    <t>Jake</t>
  </si>
  <si>
    <t>Zinn</t>
  </si>
  <si>
    <t>(740) 506-2374</t>
  </si>
  <si>
    <t>jzinn00@gmail.com</t>
  </si>
  <si>
    <t>Lifetime Quality</t>
  </si>
  <si>
    <t>Finance Manager</t>
  </si>
  <si>
    <t>Abe</t>
  </si>
  <si>
    <t>McLaurin</t>
  </si>
  <si>
    <t>(720) 340-0093</t>
  </si>
  <si>
    <t>abemclaurin@gmail.com</t>
  </si>
  <si>
    <t>Allan Bailey Johnson Group</t>
  </si>
  <si>
    <t>Business Development Associate</t>
  </si>
  <si>
    <t>Eubanks</t>
  </si>
  <si>
    <t>(513) 969-1985</t>
  </si>
  <si>
    <t>eubanksa72@gmail.com</t>
  </si>
  <si>
    <t>Salesforce</t>
  </si>
  <si>
    <t>Success Guide</t>
  </si>
  <si>
    <t>Jacquie</t>
  </si>
  <si>
    <t>Newberry</t>
  </si>
  <si>
    <t>(937) 215-6777</t>
  </si>
  <si>
    <t>Jacquie2018@gmail.com</t>
  </si>
  <si>
    <t>Razorhorse Capital</t>
  </si>
  <si>
    <t>Human Resources Generalist</t>
  </si>
  <si>
    <t>Ava</t>
  </si>
  <si>
    <t>Giambona</t>
  </si>
  <si>
    <t>(201) 694-4869</t>
  </si>
  <si>
    <t>giambona.1@osu.edu</t>
  </si>
  <si>
    <t>Create Music Group</t>
  </si>
  <si>
    <t>Distribution Operations Specialist</t>
  </si>
  <si>
    <t>Jim</t>
  </si>
  <si>
    <t>Cheng</t>
  </si>
  <si>
    <t>(419) 516-6777</t>
  </si>
  <si>
    <t>jge9999@gmail.com</t>
  </si>
  <si>
    <t>Adata Technology</t>
  </si>
  <si>
    <t>Seceretary of ESG Office</t>
  </si>
  <si>
    <t>Max</t>
  </si>
  <si>
    <t>Mahoney</t>
  </si>
  <si>
    <t>(513) 504-3203</t>
  </si>
  <si>
    <t>Mmahoney8181@gmail.com</t>
  </si>
  <si>
    <t>Emporia Research</t>
  </si>
  <si>
    <t>Client Solutions Associate</t>
  </si>
  <si>
    <t>Hang</t>
  </si>
  <si>
    <t>(419) 208-8799</t>
  </si>
  <si>
    <t>michellehang37@gmail.com</t>
  </si>
  <si>
    <t>LittleJohn &amp; Co</t>
  </si>
  <si>
    <t>Private Equity Associate</t>
  </si>
  <si>
    <t>Shirley</t>
  </si>
  <si>
    <t>(636) 345-6605</t>
  </si>
  <si>
    <t>Zhang.9076@osu.edu</t>
  </si>
  <si>
    <t>Payam Music</t>
  </si>
  <si>
    <t>Business Operations Associate</t>
  </si>
  <si>
    <t>Gabby</t>
  </si>
  <si>
    <t>Horvath</t>
  </si>
  <si>
    <t>(440) 783-2220</t>
  </si>
  <si>
    <t>gabbyhorvath7@gmail.com</t>
  </si>
  <si>
    <t>Keybanc Capital Markets</t>
  </si>
  <si>
    <t>Senior Equity Research Associate</t>
  </si>
  <si>
    <t>Stephen</t>
  </si>
  <si>
    <t>Hudock</t>
  </si>
  <si>
    <t>(412) 477-0334</t>
  </si>
  <si>
    <t>Shhudock1@gmail.com</t>
  </si>
  <si>
    <t>Pittsburgh</t>
  </si>
  <si>
    <t>Alumisource</t>
  </si>
  <si>
    <t>Mike</t>
  </si>
  <si>
    <t>Schultz</t>
  </si>
  <si>
    <t>(775) 737-1458</t>
  </si>
  <si>
    <t>Mikeschultz1999@gmail.com</t>
  </si>
  <si>
    <t>PNC Bank</t>
  </si>
  <si>
    <t>Debt Capital Markets Associate</t>
  </si>
  <si>
    <t>Sarah</t>
  </si>
  <si>
    <t>(513) 823-1729</t>
  </si>
  <si>
    <t>zhang.9257@osu.edu</t>
  </si>
  <si>
    <t>Meta</t>
  </si>
  <si>
    <t>Software Engineer</t>
  </si>
  <si>
    <t>(440) 773-3576</t>
  </si>
  <si>
    <t>plee51000@gmail.com</t>
  </si>
  <si>
    <t>Seattle</t>
  </si>
  <si>
    <t>Gates Foundation</t>
  </si>
  <si>
    <t>Associate Strategy Officer</t>
  </si>
  <si>
    <t>Mara</t>
  </si>
  <si>
    <t>Rayburg</t>
  </si>
  <si>
    <t>(412) 316-7756</t>
  </si>
  <si>
    <t>mararayburg33@gmail.com</t>
  </si>
  <si>
    <t xml:space="preserve">Indianpolis, Indiana </t>
  </si>
  <si>
    <t>Eli Lilly</t>
  </si>
  <si>
    <t>Senior Associate Sales &amp; Marketing</t>
  </si>
  <si>
    <t>Franklin</t>
  </si>
  <si>
    <t>(201) 819-9179</t>
  </si>
  <si>
    <t>franklnic7@gmail.com</t>
  </si>
  <si>
    <t>Westwood, NJ</t>
  </si>
  <si>
    <t>Marsh</t>
  </si>
  <si>
    <t>Assistant Vice President</t>
  </si>
  <si>
    <t>Erin</t>
  </si>
  <si>
    <t>Dickman</t>
  </si>
  <si>
    <t>(513) 833-6741</t>
  </si>
  <si>
    <t>erindickman03@gmail.com</t>
  </si>
  <si>
    <t>Pi</t>
  </si>
  <si>
    <t>Truist Securities</t>
  </si>
  <si>
    <t>Investment Banking Analyst</t>
  </si>
  <si>
    <t>Olbur</t>
  </si>
  <si>
    <t>(847) 909-1083</t>
  </si>
  <si>
    <t>jolbur63@gmail.com</t>
  </si>
  <si>
    <t>Bank of America</t>
  </si>
  <si>
    <t>Financial Analyst</t>
  </si>
  <si>
    <t>Andrews</t>
  </si>
  <si>
    <t>(440) 864-2456</t>
  </si>
  <si>
    <t>1120jand@gmail.com</t>
  </si>
  <si>
    <t>EY Parthenon</t>
  </si>
  <si>
    <t>Areddy</t>
  </si>
  <si>
    <t>(513) 413-7469</t>
  </si>
  <si>
    <t>cjareddy@gmail.com</t>
  </si>
  <si>
    <t>Fifth Third Bank</t>
  </si>
  <si>
    <t>Fund Finance Associate</t>
  </si>
  <si>
    <t>Kat</t>
  </si>
  <si>
    <t>Barricklow</t>
  </si>
  <si>
    <t>(567)4553156</t>
  </si>
  <si>
    <t>katbarricklow@gmail.com</t>
  </si>
  <si>
    <t>Capital One</t>
  </si>
  <si>
    <t>Senior Business Analyst</t>
  </si>
  <si>
    <t>Carter</t>
  </si>
  <si>
    <t>Buck</t>
  </si>
  <si>
    <t>(980) 322-3250</t>
  </si>
  <si>
    <t>carter_buck@Icloud.com</t>
  </si>
  <si>
    <t>Finance Transormation Associate</t>
  </si>
  <si>
    <t>Discenza</t>
  </si>
  <si>
    <t>(330) 754-7450</t>
  </si>
  <si>
    <t>michaeldiscenza106@gmail.com</t>
  </si>
  <si>
    <t>AlixPartners</t>
  </si>
  <si>
    <t>Corporate Strategy&amp; Transofrmation Consultant</t>
  </si>
  <si>
    <t>Hattie</t>
  </si>
  <si>
    <t>Fu</t>
  </si>
  <si>
    <t>(614) 477-0350</t>
  </si>
  <si>
    <t>sallyhortensia@gmail.com</t>
  </si>
  <si>
    <t>International Recruiting LLC</t>
  </si>
  <si>
    <t>Talent Acquisition and Business Development Consultant</t>
  </si>
  <si>
    <t>Noah</t>
  </si>
  <si>
    <t>Limmer</t>
  </si>
  <si>
    <t>(908) 721-8861</t>
  </si>
  <si>
    <t>noahclimmer@gmail.com</t>
  </si>
  <si>
    <t>Deals Transformation Associate</t>
  </si>
  <si>
    <t>Claire</t>
  </si>
  <si>
    <t>Muhvic</t>
  </si>
  <si>
    <t>(224) 242-0060</t>
  </si>
  <si>
    <t>cbmuh44@gmail.com</t>
  </si>
  <si>
    <t>Finance Transformation Associate</t>
  </si>
  <si>
    <t>Pizov</t>
  </si>
  <si>
    <t>(412) 439-7053</t>
  </si>
  <si>
    <t>alexpizov@gmail.com</t>
  </si>
  <si>
    <t>Audit and Assurance Senior Assistant</t>
  </si>
  <si>
    <t>Declan</t>
  </si>
  <si>
    <t>Rooney</t>
  </si>
  <si>
    <t>(970) 471-6486</t>
  </si>
  <si>
    <t>declanrooney33@gmail.com</t>
  </si>
  <si>
    <t>Financial Services Consultant</t>
  </si>
  <si>
    <t>Pearson</t>
  </si>
  <si>
    <t>Spychalski</t>
  </si>
  <si>
    <t>(614) 619-2812</t>
  </si>
  <si>
    <t>spychalskidps@gmail.com</t>
  </si>
  <si>
    <t>Bain</t>
  </si>
  <si>
    <t>Sean</t>
  </si>
  <si>
    <t>Cusak</t>
  </si>
  <si>
    <t>(440) 468-9135</t>
  </si>
  <si>
    <t>cusack.34@buckeyemail.osu.edu</t>
  </si>
  <si>
    <t>Keybank</t>
  </si>
  <si>
    <t>Finance Analyst</t>
  </si>
  <si>
    <t>Fitz</t>
  </si>
  <si>
    <t>(440) 222-5122</t>
  </si>
  <si>
    <t>patricktfitz@gmail.com</t>
  </si>
  <si>
    <t>KeyBanc Capital Markets</t>
  </si>
  <si>
    <t>(216) 970-6998</t>
  </si>
  <si>
    <t>Gnsmith1321@gmail.com</t>
  </si>
  <si>
    <t>(440) 822-0186</t>
  </si>
  <si>
    <t>alexander.j.stamatis@gmail.com</t>
  </si>
  <si>
    <t>Materion Corporation</t>
  </si>
  <si>
    <t>Finance Associate</t>
  </si>
  <si>
    <t>Logan</t>
  </si>
  <si>
    <t>(440) 666-2446</t>
  </si>
  <si>
    <t>bridegum.logan@gmail.com</t>
  </si>
  <si>
    <t>Area Manager</t>
  </si>
  <si>
    <t>Ziqi</t>
  </si>
  <si>
    <t>Chen</t>
  </si>
  <si>
    <t>(614) 929-0668</t>
  </si>
  <si>
    <t>ziqichen2001@gmail.com</t>
  </si>
  <si>
    <t>McKinsey</t>
  </si>
  <si>
    <t>Business Analyst</t>
  </si>
  <si>
    <t>Albert</t>
  </si>
  <si>
    <t>He</t>
  </si>
  <si>
    <t>(267) 885-9190</t>
  </si>
  <si>
    <t>a4he2001@gmail.com</t>
  </si>
  <si>
    <t>Pradnya</t>
  </si>
  <si>
    <t>Karne</t>
  </si>
  <si>
    <t>(703) 217-5404</t>
  </si>
  <si>
    <t>pradnya.karne@gmail.com</t>
  </si>
  <si>
    <t>Business Technology Solutions Analyst</t>
  </si>
  <si>
    <t>Arthur</t>
  </si>
  <si>
    <t>Liu</t>
  </si>
  <si>
    <t>(419) 690-6914</t>
  </si>
  <si>
    <t>arthur_liu@yahoo.com</t>
  </si>
  <si>
    <t>Formerly Abercrombie and Fitch</t>
  </si>
  <si>
    <t xml:space="preserve">Assistant Merchant </t>
  </si>
  <si>
    <t>Mattingly</t>
  </si>
  <si>
    <t>(419) 581-0597</t>
  </si>
  <si>
    <t>Lmattingly2001@gmail.com</t>
  </si>
  <si>
    <t>Rinaldi</t>
  </si>
  <si>
    <t>(614) 254-9004</t>
  </si>
  <si>
    <t>Rachelrinaldi6@gmail.com</t>
  </si>
  <si>
    <t>Abercrombie and Fitch</t>
  </si>
  <si>
    <t>Corey</t>
  </si>
  <si>
    <t>Sullivan</t>
  </si>
  <si>
    <t>(513) 507-1209</t>
  </si>
  <si>
    <t>corey.r.sully@gmail.com</t>
  </si>
  <si>
    <t>JPMorgan Chase</t>
  </si>
  <si>
    <t>Data Science Analyst</t>
  </si>
  <si>
    <t>Warnock</t>
  </si>
  <si>
    <t>(740) 272-7196</t>
  </si>
  <si>
    <t>toriw417@gmail.com</t>
  </si>
  <si>
    <t>Assistant Merchant</t>
  </si>
  <si>
    <t>Tai</t>
  </si>
  <si>
    <t>(216) 906-1560</t>
  </si>
  <si>
    <t>lucastai2015@gmail.com</t>
  </si>
  <si>
    <t>Detroit</t>
  </si>
  <si>
    <t>Ford</t>
  </si>
  <si>
    <t>Strategy and Planning</t>
  </si>
  <si>
    <t>Anagh</t>
  </si>
  <si>
    <t>Kulkarni</t>
  </si>
  <si>
    <t>(513) 601-6270</t>
  </si>
  <si>
    <t>kulkarni.230@buckeyemail.osu.edu</t>
  </si>
  <si>
    <t>Duke University</t>
  </si>
  <si>
    <t>MS2</t>
  </si>
  <si>
    <t>Trinity</t>
  </si>
  <si>
    <t>Riley</t>
  </si>
  <si>
    <t>(330) 553-7977</t>
  </si>
  <si>
    <t>trinityariel18@gmail.com</t>
  </si>
  <si>
    <t>Maryland</t>
  </si>
  <si>
    <t>Guan</t>
  </si>
  <si>
    <t>(330)-433-3280</t>
  </si>
  <si>
    <t>mishguan@gmail.com</t>
  </si>
  <si>
    <t>New Jersey</t>
  </si>
  <si>
    <t>Johnson &amp; Johnson</t>
  </si>
  <si>
    <t>Stephie</t>
  </si>
  <si>
    <t>Choe</t>
  </si>
  <si>
    <t>(614) 999-2340</t>
  </si>
  <si>
    <t>Choe.stephie@gmail.com</t>
  </si>
  <si>
    <t>Macy's</t>
  </si>
  <si>
    <t>Assistant Beauty Merchant</t>
  </si>
  <si>
    <t>Hannah</t>
  </si>
  <si>
    <t>(513) 532-1164</t>
  </si>
  <si>
    <t>hsmccollough@gmail.com</t>
  </si>
  <si>
    <t>NYU</t>
  </si>
  <si>
    <t>JD Candidate</t>
  </si>
  <si>
    <t>Sophia</t>
  </si>
  <si>
    <t>Scardon</t>
  </si>
  <si>
    <t>(614) 620-5259</t>
  </si>
  <si>
    <t>scs5259@gmail.com</t>
  </si>
  <si>
    <t>Phoenix, Arizona</t>
  </si>
  <si>
    <t>Intel</t>
  </si>
  <si>
    <t>Systems Engineer</t>
  </si>
  <si>
    <t>Kerrigan</t>
  </si>
  <si>
    <t>Hutchinson</t>
  </si>
  <si>
    <t>(419) 377-3400</t>
  </si>
  <si>
    <t>Kerriganhutchison@gmail.com</t>
  </si>
  <si>
    <t>Cain Brothers</t>
  </si>
  <si>
    <t>Adrian</t>
  </si>
  <si>
    <t>(678) 205-7683</t>
  </si>
  <si>
    <t>benjamincadrian@gmail.com</t>
  </si>
  <si>
    <t>Multistate Tax Services Consultant</t>
  </si>
  <si>
    <t>Jordan</t>
  </si>
  <si>
    <t>Chodak</t>
  </si>
  <si>
    <t>(740) 755-5801</t>
  </si>
  <si>
    <t>jordanchodak@gmail.com</t>
  </si>
  <si>
    <t>Microsoft</t>
  </si>
  <si>
    <t>(513) 208-8930</t>
  </si>
  <si>
    <t>lucaszhang.12ll@gmail.com</t>
  </si>
  <si>
    <t>Somerville</t>
  </si>
  <si>
    <t>KPMG</t>
  </si>
  <si>
    <t>Advisory Associate</t>
  </si>
  <si>
    <t>Kaylee</t>
  </si>
  <si>
    <t>Chang</t>
  </si>
  <si>
    <t>(630) 441-4965</t>
  </si>
  <si>
    <t>kayleerchang@gmail.com</t>
  </si>
  <si>
    <t>Strategy Analyst</t>
  </si>
  <si>
    <t>Scott</t>
  </si>
  <si>
    <t>Gruber</t>
  </si>
  <si>
    <t>(702) 339-2244</t>
  </si>
  <si>
    <t>scottgruber17@gmail.com</t>
  </si>
  <si>
    <t>United States Senate</t>
  </si>
  <si>
    <t>Staff Assistant</t>
  </si>
  <si>
    <t>(703) 819-1932</t>
  </si>
  <si>
    <t>kweston5122@gmail.com</t>
  </si>
  <si>
    <t>Fairfax, VA</t>
  </si>
  <si>
    <t>Rismiller</t>
  </si>
  <si>
    <t>(937) 232-2570</t>
  </si>
  <si>
    <t>emma59188@gmail.com</t>
  </si>
  <si>
    <t>Rho</t>
  </si>
  <si>
    <t>Teach for America</t>
  </si>
  <si>
    <t>Teacher</t>
  </si>
  <si>
    <t>Bohlen</t>
  </si>
  <si>
    <t>(704) 307-3764</t>
  </si>
  <si>
    <t>jhbohlen18@gmail.com</t>
  </si>
  <si>
    <t>Sigma</t>
  </si>
  <si>
    <t>Wells Fargo</t>
  </si>
  <si>
    <t>Commercial Banking Rotational Analyst</t>
  </si>
  <si>
    <t>Anna</t>
  </si>
  <si>
    <t>Carli</t>
  </si>
  <si>
    <t>(513) 288-9202</t>
  </si>
  <si>
    <t>annabcarli@gmail.com</t>
  </si>
  <si>
    <t>Chicago Public Schools</t>
  </si>
  <si>
    <t>Niveda</t>
  </si>
  <si>
    <t>Jeyakrishnan</t>
  </si>
  <si>
    <t>(203) 360-4262</t>
  </si>
  <si>
    <t>niveda.jeyakrishnan@gmail.com</t>
  </si>
  <si>
    <t>Business Solutions Consultant</t>
  </si>
  <si>
    <t>Kaitlyn</t>
  </si>
  <si>
    <t>Nock</t>
  </si>
  <si>
    <t>(440) 452-0108</t>
  </si>
  <si>
    <t>kaitlynpnock@gmail.com</t>
  </si>
  <si>
    <t>FAAS Staff</t>
  </si>
  <si>
    <t>Mauricio</t>
  </si>
  <si>
    <t>Parra</t>
  </si>
  <si>
    <t>(312) 721-5601</t>
  </si>
  <si>
    <t>mauri030102@gmail.com</t>
  </si>
  <si>
    <t>Oliver Wyman</t>
  </si>
  <si>
    <t xml:space="preserve">Consultant </t>
  </si>
  <si>
    <t>Perusek</t>
  </si>
  <si>
    <t>(440)-452-0177</t>
  </si>
  <si>
    <t>perusek33@gmail.com</t>
  </si>
  <si>
    <t>Energy Investments Analyst</t>
  </si>
  <si>
    <t>Boulton</t>
  </si>
  <si>
    <t>(513) 461-3053</t>
  </si>
  <si>
    <t>maxboulton@yahoo.com</t>
  </si>
  <si>
    <t>The CAM Collective</t>
  </si>
  <si>
    <t>M&amp;A Analyst</t>
  </si>
  <si>
    <t>Caroline</t>
  </si>
  <si>
    <t>Jarrell</t>
  </si>
  <si>
    <t>(419) 279-2570</t>
  </si>
  <si>
    <t>carolinegrace46@gmail.com</t>
  </si>
  <si>
    <t>Human Resources Senior Coordinator</t>
  </si>
  <si>
    <t>Spano</t>
  </si>
  <si>
    <t>(412) 592-4049</t>
  </si>
  <si>
    <t>sophia.spano00@gmail.com</t>
  </si>
  <si>
    <t>Commercial Leadership Program</t>
  </si>
  <si>
    <t>Lew</t>
  </si>
  <si>
    <t>(216) 401-5242</t>
  </si>
  <si>
    <t>maximus.lew34@icloud.com</t>
  </si>
  <si>
    <t>Eighth Day Sound</t>
  </si>
  <si>
    <t>Road Staff</t>
  </si>
  <si>
    <t>Grace</t>
  </si>
  <si>
    <t>Berlier</t>
  </si>
  <si>
    <t>(513) 460-2205</t>
  </si>
  <si>
    <t>graceberlier@gmail.com</t>
  </si>
  <si>
    <t>Nationwide Insurance</t>
  </si>
  <si>
    <t>Marketing Leadership Rotation Program Associate</t>
  </si>
  <si>
    <t>Bright</t>
  </si>
  <si>
    <t>(248) 686-9095</t>
  </si>
  <si>
    <t>gracebright74@gmail.com</t>
  </si>
  <si>
    <t>OSU Wexner Medical Center</t>
  </si>
  <si>
    <t>Briana</t>
  </si>
  <si>
    <t>Keyser</t>
  </si>
  <si>
    <t>(419) 239-8727</t>
  </si>
  <si>
    <t>brianakeyser16@gmail.com</t>
  </si>
  <si>
    <t>Greentech Renewables</t>
  </si>
  <si>
    <t>Purchasing Manager</t>
  </si>
  <si>
    <t>Zajkowski</t>
  </si>
  <si>
    <t>(440) 387-3026</t>
  </si>
  <si>
    <t>aaronzajkowski@gmail.com</t>
  </si>
  <si>
    <t>(614) 377-6879</t>
  </si>
  <si>
    <t>ryanzinn2020@gmail.com</t>
  </si>
  <si>
    <t>XTek Partners, Inc</t>
  </si>
  <si>
    <t>Government Program Lead</t>
  </si>
  <si>
    <t>Geetansh</t>
  </si>
  <si>
    <t>Sankhla</t>
  </si>
  <si>
    <t>(440) 903-8250</t>
  </si>
  <si>
    <t>geetanshsankhla@gmail.com</t>
  </si>
  <si>
    <t>Power Platform Business Solutions Consultant</t>
  </si>
  <si>
    <t>Matthew</t>
  </si>
  <si>
    <t>Gong</t>
  </si>
  <si>
    <t>(248) 787-0858</t>
  </si>
  <si>
    <t>matt.gong22@gmail.com</t>
  </si>
  <si>
    <t>Eaton</t>
  </si>
  <si>
    <t>Operations Finance (FLDP)</t>
  </si>
  <si>
    <t>Dushnitzky</t>
  </si>
  <si>
    <t>(614) 598-2243</t>
  </si>
  <si>
    <t>dushnitzky.2@osu.edu</t>
  </si>
  <si>
    <t>Royal Carribbean</t>
  </si>
  <si>
    <t>Deployment Strategy &amp; Projects Analyst</t>
  </si>
  <si>
    <t>Lillian</t>
  </si>
  <si>
    <t>Gorelik</t>
  </si>
  <si>
    <t>(517) 944-3112</t>
  </si>
  <si>
    <t>goreliklillian@gmail.com</t>
  </si>
  <si>
    <t>Business Architecture Analyst</t>
  </si>
  <si>
    <t>Isaacman</t>
  </si>
  <si>
    <t>(858)-776-4421</t>
  </si>
  <si>
    <t>Mbisaacman@gmail.com</t>
  </si>
  <si>
    <t>HPS Investment Partners</t>
  </si>
  <si>
    <t>Analyst</t>
  </si>
  <si>
    <t>Nidhi</t>
  </si>
  <si>
    <t>Shah</t>
  </si>
  <si>
    <t>(609) 933-2448</t>
  </si>
  <si>
    <t>2nidhishah@gmail.com</t>
  </si>
  <si>
    <t>PJT Partners</t>
  </si>
  <si>
    <t>Miles</t>
  </si>
  <si>
    <t>Skove</t>
  </si>
  <si>
    <t>(732) 413-5884</t>
  </si>
  <si>
    <t>milesskove@gmail.com</t>
  </si>
  <si>
    <t>Jefferies</t>
  </si>
  <si>
    <t>Annika</t>
  </si>
  <si>
    <t>annikabehrend@gmail.com</t>
  </si>
  <si>
    <t>Fort Lauderdale</t>
  </si>
  <si>
    <t>ADP</t>
  </si>
  <si>
    <t>Associate District Manager</t>
  </si>
  <si>
    <t>Mika</t>
  </si>
  <si>
    <t>Guillen</t>
  </si>
  <si>
    <t>(937) 271-4874</t>
  </si>
  <si>
    <t>mikasguillen@gmail.com</t>
  </si>
  <si>
    <t>Google</t>
  </si>
  <si>
    <t>Growth Consultant</t>
  </si>
  <si>
    <t>Dennis</t>
  </si>
  <si>
    <t>(330) 844-4996</t>
  </si>
  <si>
    <t>jackdennis4996@gmail.com</t>
  </si>
  <si>
    <t>Saragossa</t>
  </si>
  <si>
    <t>Christian</t>
  </si>
  <si>
    <t>Heidenreich</t>
  </si>
  <si>
    <t>(412) 760-8804</t>
  </si>
  <si>
    <t>Heidenreich.23@osu.edu</t>
  </si>
  <si>
    <t>Toledo, OH</t>
  </si>
  <si>
    <t>Thomas Porter Architects</t>
  </si>
  <si>
    <t>Architectural Designer</t>
  </si>
  <si>
    <t>Sammi</t>
  </si>
  <si>
    <t>Cheung</t>
  </si>
  <si>
    <t>(267) 370-8865</t>
  </si>
  <si>
    <t>sammicheung19@gmail.com</t>
  </si>
  <si>
    <t>Niki</t>
  </si>
  <si>
    <t>Iyer</t>
  </si>
  <si>
    <t>(978) 429-7586</t>
  </si>
  <si>
    <t>ns123.iyer@gmail.com</t>
  </si>
  <si>
    <t>Meyer</t>
  </si>
  <si>
    <t>(914) 907-5995</t>
  </si>
  <si>
    <t>julia.meyer2002@gmail.com</t>
  </si>
  <si>
    <t>Kodiak Solutions</t>
  </si>
  <si>
    <t>Healthcare Product Implementation Associate</t>
  </si>
  <si>
    <t>Jason</t>
  </si>
  <si>
    <t>Roehrs</t>
  </si>
  <si>
    <t>(513) 472-0207</t>
  </si>
  <si>
    <t>roehrs.jason@gmail.com</t>
  </si>
  <si>
    <t>Baltimore</t>
  </si>
  <si>
    <t>StepStone Group</t>
  </si>
  <si>
    <t>Venture Capital Analyst</t>
  </si>
  <si>
    <t>Sayre</t>
  </si>
  <si>
    <t>(513) 371-8638</t>
  </si>
  <si>
    <t>jack@thesayres.net</t>
  </si>
  <si>
    <t>AI &amp; Data Engineering Analyst</t>
  </si>
  <si>
    <t>Beckett</t>
  </si>
  <si>
    <t>Bessinger</t>
  </si>
  <si>
    <t>(401) 239-8414</t>
  </si>
  <si>
    <t>beckettbessinger1@gmail.com</t>
  </si>
  <si>
    <t>Tau</t>
  </si>
  <si>
    <t>Conservative Energy Network</t>
  </si>
  <si>
    <t>Events &amp; Grants Coordinator</t>
  </si>
  <si>
    <t>Thomas</t>
  </si>
  <si>
    <t>(330) 607-2127</t>
  </si>
  <si>
    <t>davidjthomas94@gmail.com</t>
  </si>
  <si>
    <t>~2017</t>
  </si>
  <si>
    <t>Bryant</t>
  </si>
  <si>
    <t>Yan</t>
  </si>
  <si>
    <t>(614) 707-6250</t>
  </si>
  <si>
    <t>PwC (?)</t>
  </si>
  <si>
    <t>M&amp;A Associate</t>
  </si>
  <si>
    <t>Sabrina</t>
  </si>
  <si>
    <t>Fadel</t>
  </si>
  <si>
    <t>fadel.sabrina03@gmail.com</t>
  </si>
  <si>
    <t>M&amp;A Tax Associate</t>
  </si>
  <si>
    <t>Wagoner</t>
  </si>
  <si>
    <t>hlwagoner@icloud.com</t>
  </si>
  <si>
    <t>FP&amp;A Financial Analyst</t>
  </si>
  <si>
    <t>Jenna</t>
  </si>
  <si>
    <t>jennagwagoner10@gmail.com</t>
  </si>
  <si>
    <t>Sr. Analyst - Event Marketing Operations</t>
  </si>
  <si>
    <t>Zach</t>
  </si>
  <si>
    <t>zachgeorge21@gmail.com</t>
  </si>
  <si>
    <t>Private Bank Analyst</t>
  </si>
  <si>
    <t>Hope</t>
  </si>
  <si>
    <t>Tageson</t>
  </si>
  <si>
    <t>TPA Analysis</t>
  </si>
  <si>
    <t>Macie</t>
  </si>
  <si>
    <t>Caldwell</t>
  </si>
  <si>
    <t>maciecaldwell.878@gmail.com</t>
  </si>
  <si>
    <t>Washington DC</t>
  </si>
  <si>
    <t>Corporate Strategy Associate</t>
  </si>
  <si>
    <t>Rachael</t>
  </si>
  <si>
    <t>Robinson</t>
  </si>
  <si>
    <t>Rachrob11@icloud.com</t>
  </si>
  <si>
    <t>Proctor &amp; Gamble</t>
  </si>
  <si>
    <t>Analytics &amp; Insights Manager</t>
  </si>
  <si>
    <t>obewie@gmail.com</t>
  </si>
  <si>
    <t>Mergers &amp; Acquisitions Investment Banking Analyst</t>
  </si>
  <si>
    <t>Dhruv</t>
  </si>
  <si>
    <t>Velineni</t>
  </si>
  <si>
    <t>1898 &amp; Co.</t>
  </si>
  <si>
    <t>Gause</t>
  </si>
  <si>
    <t>gauselm10@gmail.com</t>
  </si>
  <si>
    <t>Merchandise Planning Intern</t>
  </si>
  <si>
    <t>Josh</t>
  </si>
  <si>
    <t>Marino</t>
  </si>
  <si>
    <t>marino.210@osu.edu</t>
  </si>
  <si>
    <t>BCG</t>
  </si>
  <si>
    <t>Boyle</t>
  </si>
  <si>
    <t>(571) 867-7873</t>
  </si>
  <si>
    <t>Rachelb104@yahoo.com</t>
  </si>
  <si>
    <t>US Bank</t>
  </si>
  <si>
    <t>Relationship Management Analyst (Banking)</t>
  </si>
  <si>
    <t>Biedenharn</t>
  </si>
  <si>
    <t>Upsilon</t>
  </si>
  <si>
    <t>Sunshine Communities</t>
  </si>
  <si>
    <t>Seasonal Direct Support Professional</t>
  </si>
  <si>
    <t>Marty</t>
  </si>
  <si>
    <t>Kahn</t>
  </si>
  <si>
    <t>(513) 284-5577</t>
  </si>
  <si>
    <t>martyskahn@gmail.com</t>
  </si>
  <si>
    <t>AI Product Manager</t>
  </si>
  <si>
    <t>Reis</t>
  </si>
  <si>
    <t>ctreis.24@gmail.com</t>
  </si>
  <si>
    <t>Business Valuations Associate</t>
  </si>
  <si>
    <t>Rodgers</t>
  </si>
  <si>
    <t>ejlrodgers@gmail.com</t>
  </si>
  <si>
    <t>Associate, M&amp;A Advisory</t>
  </si>
  <si>
    <t>Jared</t>
  </si>
  <si>
    <t>Pine</t>
  </si>
  <si>
    <t>jaredpine09@gmail.com</t>
  </si>
  <si>
    <t>Parsippany, NJ</t>
  </si>
  <si>
    <t>Avis Budget Group</t>
  </si>
  <si>
    <t>Commercial Rotational Analyst</t>
  </si>
  <si>
    <t>Aya</t>
  </si>
  <si>
    <t>Dushnitzky@gmail.com</t>
  </si>
  <si>
    <t>Revenue Management Analyst</t>
  </si>
  <si>
    <t>Tosatti</t>
  </si>
  <si>
    <t>atosatti3@gmail.com</t>
  </si>
  <si>
    <t>Arrive Logistics</t>
  </si>
  <si>
    <t>Business Development Representative</t>
  </si>
  <si>
    <t>Chloe</t>
  </si>
  <si>
    <t>Parker</t>
  </si>
  <si>
    <t>(419) 263-8595</t>
  </si>
  <si>
    <t>chloe.rosep.03@gmail.com</t>
  </si>
  <si>
    <t>Fort Wayne</t>
  </si>
  <si>
    <t>Premier Truck Rental</t>
  </si>
  <si>
    <t>Marketing Coordinator</t>
  </si>
  <si>
    <t>Giunco</t>
  </si>
  <si>
    <t>(732) 759-4343</t>
  </si>
  <si>
    <t>Financials Services Consultant</t>
  </si>
  <si>
    <t>Nigel</t>
  </si>
  <si>
    <t>Gore</t>
  </si>
  <si>
    <t>(216) 246-2829</t>
  </si>
  <si>
    <t>Goldman Sachs</t>
  </si>
  <si>
    <t>Investment Banking Compliance Analyst</t>
  </si>
  <si>
    <t>Anushka</t>
  </si>
  <si>
    <t>Nath</t>
  </si>
  <si>
    <t>(614) 483-3211</t>
  </si>
  <si>
    <t>Hagar</t>
  </si>
  <si>
    <t>kphagar2003@gmail.com</t>
  </si>
  <si>
    <t>Franklin County Prosecutor's Office</t>
  </si>
  <si>
    <t>Legal Secretary</t>
  </si>
  <si>
    <t>Ameedah</t>
  </si>
  <si>
    <t>Jenmi</t>
  </si>
  <si>
    <t>(469) 432-4829</t>
  </si>
  <si>
    <t>Customer Success Strategy</t>
  </si>
  <si>
    <t>Brian</t>
  </si>
  <si>
    <t>Lum</t>
  </si>
  <si>
    <t>(419) 367-6683</t>
  </si>
  <si>
    <t>brianlumbusiness@gmail.com</t>
  </si>
  <si>
    <t>Program Manager, Global Cloud Business Operations</t>
  </si>
  <si>
    <t>Mroh Chai</t>
  </si>
  <si>
    <t>Jompar</t>
  </si>
  <si>
    <t>(614) 285-0887</t>
  </si>
  <si>
    <t>Tasnim</t>
  </si>
  <si>
    <t>Ali</t>
  </si>
  <si>
    <t>(614) 772-5871</t>
  </si>
  <si>
    <t>Rithvik</t>
  </si>
  <si>
    <t>Kilaparthi</t>
  </si>
  <si>
    <t>Siemens</t>
  </si>
  <si>
    <t>Halstead</t>
  </si>
  <si>
    <t>California</t>
  </si>
  <si>
    <t>Celine</t>
  </si>
  <si>
    <t>Scaria</t>
  </si>
  <si>
    <t>Scaria.4@osu.edu</t>
  </si>
  <si>
    <t>Equity Research Summer 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</si>
</sst>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(###) ###-####"/>
    <numFmt numFmtId="165" formatCode="###-###-####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rgb="FF000000"/>
      <name val="Arial"/>
    </font>
    <font>
      <u/>
      <sz val="10.0"/>
      <color rgb="FF000000"/>
      <name val="Arial"/>
    </font>
    <font>
      <u/>
      <color rgb="FF1155CC"/>
      <name val="Arial"/>
    </font>
    <font>
      <u/>
      <sz val="10.0"/>
      <color rgb="FF000000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left" readingOrder="0"/>
    </xf>
    <xf borderId="0" fillId="0" fontId="2" numFmtId="0" xfId="0" applyAlignment="1" applyFont="1">
      <alignment horizontal="center" vertical="bottom"/>
    </xf>
    <xf borderId="0" fillId="2" fontId="3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left"/>
    </xf>
    <xf borderId="0" fillId="0" fontId="3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left" readingOrder="0" vertical="bottom"/>
    </xf>
    <xf borderId="0" fillId="2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left" vertical="bottom"/>
    </xf>
    <xf borderId="0" fillId="3" fontId="2" numFmtId="0" xfId="0" applyAlignment="1" applyFill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2" fontId="3" numFmtId="0" xfId="0" applyAlignment="1" applyFont="1">
      <alignment horizontal="center" readingOrder="0"/>
    </xf>
    <xf borderId="0" fillId="2" fontId="2" numFmtId="0" xfId="0" applyAlignment="1" applyFont="1">
      <alignment horizontal="center" readingOrder="0" vertical="bottom"/>
    </xf>
    <xf borderId="0" fillId="2" fontId="8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2" fontId="3" numFmtId="0" xfId="0" applyAlignment="1" applyFont="1">
      <alignment horizontal="center" readingOrder="0" shrinkToFit="0" wrapText="0"/>
    </xf>
    <xf borderId="0" fillId="4" fontId="3" numFmtId="0" xfId="0" applyAlignment="1" applyFill="1" applyFont="1">
      <alignment horizontal="center" readingOrder="0" shrinkToFit="0" wrapText="0"/>
    </xf>
    <xf borderId="0" fillId="2" fontId="4" numFmtId="0" xfId="0" applyAlignment="1" applyFont="1">
      <alignment horizontal="center" readingOrder="0"/>
    </xf>
    <xf borderId="0" fillId="5" fontId="3" numFmtId="0" xfId="0" applyAlignment="1" applyFill="1" applyFont="1">
      <alignment horizontal="center" shrinkToFit="0" vertical="bottom" wrapText="0"/>
    </xf>
    <xf borderId="0" fillId="5" fontId="4" numFmtId="0" xfId="0" applyAlignment="1" applyFont="1">
      <alignment horizontal="center" readingOrder="0"/>
    </xf>
    <xf borderId="0" fillId="5" fontId="3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horizontal="center" readingOrder="0"/>
    </xf>
    <xf borderId="0" fillId="5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0" fontId="4" numFmtId="165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aronjpct.ulbnq@8alias.com" TargetMode="External"/><Relationship Id="rId2" Type="http://schemas.openxmlformats.org/officeDocument/2006/relationships/hyperlink" Target="mailto:jwang7835@gmail.com" TargetMode="External"/><Relationship Id="rId3" Type="http://schemas.openxmlformats.org/officeDocument/2006/relationships/hyperlink" Target="mailto:yuan.e@pg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75"/>
    <col customWidth="1" min="2" max="2" width="10.88"/>
    <col customWidth="1" min="3" max="3" width="13.38"/>
    <col customWidth="1" min="4" max="4" width="25.25"/>
    <col customWidth="1" min="5" max="6" width="13.88"/>
    <col customWidth="1" min="7" max="7" width="36.13"/>
    <col customWidth="1" min="8" max="8" width="36.63"/>
    <col customWidth="1" min="9" max="9" width="4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5" t="s">
        <v>10</v>
      </c>
      <c r="C2" s="6" t="s">
        <v>11</v>
      </c>
      <c r="D2" s="5" t="s">
        <v>12</v>
      </c>
      <c r="E2" s="5">
        <v>2013.0</v>
      </c>
      <c r="F2" s="7" t="s">
        <v>13</v>
      </c>
      <c r="G2" s="8" t="s">
        <v>14</v>
      </c>
      <c r="H2" s="5" t="s">
        <v>15</v>
      </c>
      <c r="I2" s="5" t="s">
        <v>16</v>
      </c>
    </row>
    <row r="3">
      <c r="A3" s="5" t="s">
        <v>17</v>
      </c>
      <c r="B3" s="5" t="s">
        <v>18</v>
      </c>
      <c r="C3" s="9" t="s">
        <v>19</v>
      </c>
      <c r="D3" s="5" t="s">
        <v>20</v>
      </c>
      <c r="E3" s="5">
        <v>2015.0</v>
      </c>
      <c r="F3" s="7" t="s">
        <v>13</v>
      </c>
      <c r="G3" s="8" t="s">
        <v>21</v>
      </c>
      <c r="H3" s="5" t="s">
        <v>22</v>
      </c>
      <c r="I3" s="5" t="s">
        <v>23</v>
      </c>
    </row>
    <row r="4">
      <c r="A4" s="5" t="s">
        <v>24</v>
      </c>
      <c r="B4" s="5" t="s">
        <v>25</v>
      </c>
      <c r="C4" s="9" t="s">
        <v>26</v>
      </c>
      <c r="D4" s="5" t="s">
        <v>27</v>
      </c>
      <c r="E4" s="5">
        <v>2015.0</v>
      </c>
      <c r="F4" s="7" t="s">
        <v>13</v>
      </c>
      <c r="G4" s="8" t="s">
        <v>28</v>
      </c>
      <c r="H4" s="5" t="s">
        <v>29</v>
      </c>
      <c r="I4" s="5" t="s">
        <v>30</v>
      </c>
    </row>
    <row r="5">
      <c r="A5" s="5" t="s">
        <v>31</v>
      </c>
      <c r="B5" s="5" t="s">
        <v>32</v>
      </c>
      <c r="C5" s="9" t="s">
        <v>33</v>
      </c>
      <c r="D5" s="5" t="s">
        <v>34</v>
      </c>
      <c r="E5" s="5">
        <v>2015.0</v>
      </c>
      <c r="F5" s="7" t="s">
        <v>13</v>
      </c>
      <c r="G5" s="8" t="s">
        <v>35</v>
      </c>
      <c r="H5" s="5" t="s">
        <v>36</v>
      </c>
      <c r="I5" s="5" t="s">
        <v>37</v>
      </c>
    </row>
    <row r="6">
      <c r="A6" s="5" t="s">
        <v>38</v>
      </c>
      <c r="B6" s="5" t="s">
        <v>39</v>
      </c>
      <c r="C6" s="6" t="s">
        <v>40</v>
      </c>
      <c r="D6" s="5" t="s">
        <v>41</v>
      </c>
      <c r="E6" s="5">
        <v>2016.0</v>
      </c>
      <c r="F6" s="7" t="s">
        <v>42</v>
      </c>
      <c r="G6" s="8" t="s">
        <v>43</v>
      </c>
      <c r="H6" s="5" t="s">
        <v>44</v>
      </c>
      <c r="I6" s="5" t="s">
        <v>45</v>
      </c>
    </row>
    <row r="7">
      <c r="A7" s="5" t="s">
        <v>46</v>
      </c>
      <c r="B7" s="5" t="s">
        <v>47</v>
      </c>
      <c r="C7" s="9" t="s">
        <v>48</v>
      </c>
      <c r="D7" s="5" t="s">
        <v>49</v>
      </c>
      <c r="E7" s="5">
        <v>2016.0</v>
      </c>
      <c r="F7" s="7" t="s">
        <v>13</v>
      </c>
      <c r="G7" s="8" t="s">
        <v>50</v>
      </c>
      <c r="H7" s="5" t="s">
        <v>51</v>
      </c>
      <c r="I7" s="5" t="s">
        <v>52</v>
      </c>
    </row>
    <row r="8">
      <c r="A8" s="5" t="s">
        <v>53</v>
      </c>
      <c r="B8" s="5" t="s">
        <v>54</v>
      </c>
      <c r="C8" s="9" t="s">
        <v>55</v>
      </c>
      <c r="D8" s="5" t="s">
        <v>56</v>
      </c>
      <c r="E8" s="5">
        <v>2016.0</v>
      </c>
      <c r="F8" s="7" t="s">
        <v>57</v>
      </c>
      <c r="G8" s="8" t="s">
        <v>58</v>
      </c>
      <c r="H8" s="5" t="s">
        <v>59</v>
      </c>
      <c r="I8" s="5" t="s">
        <v>60</v>
      </c>
    </row>
    <row r="9">
      <c r="A9" s="5" t="s">
        <v>61</v>
      </c>
      <c r="B9" s="5" t="s">
        <v>62</v>
      </c>
      <c r="C9" s="9" t="s">
        <v>63</v>
      </c>
      <c r="D9" s="5" t="s">
        <v>64</v>
      </c>
      <c r="E9" s="5">
        <v>2016.0</v>
      </c>
      <c r="F9" s="7" t="s">
        <v>65</v>
      </c>
      <c r="G9" s="8" t="s">
        <v>58</v>
      </c>
      <c r="H9" s="10"/>
      <c r="I9" s="10"/>
    </row>
    <row r="10">
      <c r="A10" s="5" t="s">
        <v>66</v>
      </c>
      <c r="B10" s="5" t="s">
        <v>67</v>
      </c>
      <c r="C10" s="9" t="s">
        <v>68</v>
      </c>
      <c r="D10" s="5" t="s">
        <v>69</v>
      </c>
      <c r="E10" s="5">
        <v>2016.0</v>
      </c>
      <c r="F10" s="7" t="s">
        <v>13</v>
      </c>
      <c r="G10" s="8" t="s">
        <v>70</v>
      </c>
      <c r="H10" s="5" t="s">
        <v>71</v>
      </c>
      <c r="I10" s="5" t="s">
        <v>72</v>
      </c>
    </row>
    <row r="11">
      <c r="A11" s="5" t="s">
        <v>73</v>
      </c>
      <c r="B11" s="5" t="s">
        <v>74</v>
      </c>
      <c r="C11" s="6" t="s">
        <v>75</v>
      </c>
      <c r="D11" s="5" t="s">
        <v>76</v>
      </c>
      <c r="E11" s="5">
        <v>2016.0</v>
      </c>
      <c r="F11" s="7" t="s">
        <v>13</v>
      </c>
      <c r="G11" s="8" t="s">
        <v>77</v>
      </c>
      <c r="H11" s="5" t="s">
        <v>78</v>
      </c>
      <c r="I11" s="5" t="s">
        <v>79</v>
      </c>
    </row>
    <row r="12">
      <c r="A12" s="5" t="s">
        <v>80</v>
      </c>
      <c r="B12" s="5" t="s">
        <v>81</v>
      </c>
      <c r="C12" s="9" t="s">
        <v>82</v>
      </c>
      <c r="D12" s="5" t="s">
        <v>83</v>
      </c>
      <c r="E12" s="5">
        <v>2017.0</v>
      </c>
      <c r="F12" s="11" t="s">
        <v>13</v>
      </c>
      <c r="G12" s="8" t="s">
        <v>84</v>
      </c>
      <c r="H12" s="5" t="s">
        <v>85</v>
      </c>
      <c r="I12" s="5" t="s">
        <v>86</v>
      </c>
    </row>
    <row r="13">
      <c r="A13" s="5" t="s">
        <v>87</v>
      </c>
      <c r="B13" s="5" t="s">
        <v>88</v>
      </c>
      <c r="C13" s="9" t="s">
        <v>89</v>
      </c>
      <c r="D13" s="5" t="s">
        <v>90</v>
      </c>
      <c r="E13" s="5">
        <v>2017.0</v>
      </c>
      <c r="F13" s="7" t="s">
        <v>91</v>
      </c>
      <c r="G13" s="8" t="s">
        <v>92</v>
      </c>
      <c r="H13" s="5" t="s">
        <v>93</v>
      </c>
      <c r="I13" s="5" t="s">
        <v>94</v>
      </c>
    </row>
    <row r="14">
      <c r="A14" s="5" t="s">
        <v>95</v>
      </c>
      <c r="B14" s="5" t="s">
        <v>96</v>
      </c>
      <c r="C14" s="9" t="s">
        <v>97</v>
      </c>
      <c r="D14" s="5" t="s">
        <v>98</v>
      </c>
      <c r="E14" s="5">
        <v>2017.0</v>
      </c>
      <c r="F14" s="7" t="s">
        <v>42</v>
      </c>
      <c r="G14" s="8" t="s">
        <v>99</v>
      </c>
      <c r="H14" s="5" t="s">
        <v>100</v>
      </c>
      <c r="I14" s="5" t="s">
        <v>101</v>
      </c>
    </row>
    <row r="15">
      <c r="A15" s="5" t="s">
        <v>102</v>
      </c>
      <c r="B15" s="5" t="s">
        <v>103</v>
      </c>
      <c r="C15" s="9" t="s">
        <v>104</v>
      </c>
      <c r="D15" s="5" t="s">
        <v>105</v>
      </c>
      <c r="E15" s="5">
        <v>2017.0</v>
      </c>
      <c r="F15" s="7" t="s">
        <v>13</v>
      </c>
      <c r="G15" s="8" t="s">
        <v>21</v>
      </c>
      <c r="H15" s="5" t="s">
        <v>106</v>
      </c>
      <c r="I15" s="10"/>
    </row>
    <row r="16">
      <c r="A16" s="5" t="s">
        <v>107</v>
      </c>
      <c r="B16" s="5" t="s">
        <v>108</v>
      </c>
      <c r="C16" s="6" t="s">
        <v>109</v>
      </c>
      <c r="D16" s="5" t="s">
        <v>110</v>
      </c>
      <c r="E16" s="5">
        <v>2017.0</v>
      </c>
      <c r="F16" s="7" t="s">
        <v>91</v>
      </c>
      <c r="G16" s="8" t="s">
        <v>21</v>
      </c>
      <c r="H16" s="5" t="s">
        <v>111</v>
      </c>
      <c r="I16" s="5" t="s">
        <v>112</v>
      </c>
    </row>
    <row r="17">
      <c r="A17" s="5" t="s">
        <v>113</v>
      </c>
      <c r="B17" s="5" t="s">
        <v>114</v>
      </c>
      <c r="C17" s="9" t="s">
        <v>115</v>
      </c>
      <c r="D17" s="5" t="s">
        <v>116</v>
      </c>
      <c r="E17" s="5">
        <v>2017.0</v>
      </c>
      <c r="F17" s="7" t="s">
        <v>57</v>
      </c>
      <c r="G17" s="8" t="s">
        <v>43</v>
      </c>
      <c r="H17" s="5" t="s">
        <v>117</v>
      </c>
      <c r="I17" s="5" t="s">
        <v>118</v>
      </c>
    </row>
    <row r="18">
      <c r="A18" s="5" t="s">
        <v>119</v>
      </c>
      <c r="B18" s="5" t="s">
        <v>120</v>
      </c>
      <c r="C18" s="9" t="s">
        <v>121</v>
      </c>
      <c r="D18" s="5" t="s">
        <v>122</v>
      </c>
      <c r="E18" s="5">
        <v>2017.0</v>
      </c>
      <c r="F18" s="7" t="s">
        <v>13</v>
      </c>
      <c r="G18" s="8" t="s">
        <v>43</v>
      </c>
      <c r="H18" s="5" t="s">
        <v>123</v>
      </c>
      <c r="I18" s="5" t="s">
        <v>124</v>
      </c>
    </row>
    <row r="19">
      <c r="A19" s="5" t="s">
        <v>125</v>
      </c>
      <c r="B19" s="5" t="s">
        <v>126</v>
      </c>
      <c r="C19" s="9" t="s">
        <v>127</v>
      </c>
      <c r="D19" s="10"/>
      <c r="E19" s="5">
        <v>2017.0</v>
      </c>
      <c r="F19" s="7" t="s">
        <v>57</v>
      </c>
      <c r="G19" s="8" t="s">
        <v>50</v>
      </c>
      <c r="H19" s="5" t="s">
        <v>128</v>
      </c>
      <c r="I19" s="5" t="s">
        <v>129</v>
      </c>
    </row>
    <row r="20">
      <c r="A20" s="5" t="s">
        <v>130</v>
      </c>
      <c r="B20" s="5" t="s">
        <v>131</v>
      </c>
      <c r="C20" s="9" t="s">
        <v>132</v>
      </c>
      <c r="D20" s="5" t="s">
        <v>133</v>
      </c>
      <c r="E20" s="5">
        <v>2017.0</v>
      </c>
      <c r="F20" s="7" t="s">
        <v>57</v>
      </c>
      <c r="G20" s="8" t="s">
        <v>134</v>
      </c>
      <c r="H20" s="5" t="s">
        <v>135</v>
      </c>
      <c r="I20" s="5" t="s">
        <v>136</v>
      </c>
    </row>
    <row r="21">
      <c r="A21" s="5" t="s">
        <v>107</v>
      </c>
      <c r="B21" s="5" t="s">
        <v>137</v>
      </c>
      <c r="C21" s="9" t="s">
        <v>138</v>
      </c>
      <c r="D21" s="5" t="s">
        <v>139</v>
      </c>
      <c r="E21" s="5">
        <v>2017.0</v>
      </c>
      <c r="F21" s="7" t="s">
        <v>13</v>
      </c>
      <c r="G21" s="8" t="s">
        <v>140</v>
      </c>
      <c r="H21" s="5" t="s">
        <v>141</v>
      </c>
      <c r="I21" s="5" t="s">
        <v>142</v>
      </c>
    </row>
    <row r="22">
      <c r="A22" s="5" t="s">
        <v>143</v>
      </c>
      <c r="B22" s="5" t="s">
        <v>144</v>
      </c>
      <c r="C22" s="9" t="s">
        <v>145</v>
      </c>
      <c r="D22" s="5" t="s">
        <v>146</v>
      </c>
      <c r="E22" s="5">
        <v>2017.0</v>
      </c>
      <c r="F22" s="7" t="s">
        <v>13</v>
      </c>
      <c r="G22" s="8" t="s">
        <v>147</v>
      </c>
      <c r="H22" s="5" t="s">
        <v>148</v>
      </c>
      <c r="I22" s="5" t="s">
        <v>149</v>
      </c>
    </row>
    <row r="23">
      <c r="A23" s="5" t="s">
        <v>150</v>
      </c>
      <c r="B23" s="5" t="s">
        <v>151</v>
      </c>
      <c r="C23" s="6" t="s">
        <v>152</v>
      </c>
      <c r="D23" s="5" t="s">
        <v>153</v>
      </c>
      <c r="E23" s="5">
        <v>2017.0</v>
      </c>
      <c r="F23" s="7" t="s">
        <v>13</v>
      </c>
      <c r="G23" s="8" t="s">
        <v>154</v>
      </c>
      <c r="H23" s="5" t="s">
        <v>155</v>
      </c>
      <c r="I23" s="5" t="s">
        <v>156</v>
      </c>
    </row>
    <row r="24">
      <c r="A24" s="5" t="s">
        <v>31</v>
      </c>
      <c r="B24" s="5" t="s">
        <v>157</v>
      </c>
      <c r="C24" s="6" t="s">
        <v>158</v>
      </c>
      <c r="D24" s="5" t="s">
        <v>159</v>
      </c>
      <c r="E24" s="5">
        <v>2017.0</v>
      </c>
      <c r="F24" s="7" t="s">
        <v>13</v>
      </c>
      <c r="G24" s="8" t="s">
        <v>154</v>
      </c>
      <c r="H24" s="5" t="s">
        <v>160</v>
      </c>
      <c r="I24" s="5" t="s">
        <v>161</v>
      </c>
    </row>
    <row r="25">
      <c r="A25" s="5" t="s">
        <v>162</v>
      </c>
      <c r="B25" s="5" t="s">
        <v>163</v>
      </c>
      <c r="C25" s="6" t="s">
        <v>164</v>
      </c>
      <c r="D25" s="5" t="s">
        <v>165</v>
      </c>
      <c r="E25" s="5">
        <v>2017.0</v>
      </c>
      <c r="F25" s="7" t="s">
        <v>13</v>
      </c>
      <c r="G25" s="8" t="s">
        <v>166</v>
      </c>
      <c r="H25" s="5" t="s">
        <v>167</v>
      </c>
      <c r="I25" s="5" t="s">
        <v>168</v>
      </c>
    </row>
    <row r="26">
      <c r="A26" s="5" t="s">
        <v>169</v>
      </c>
      <c r="B26" s="5" t="s">
        <v>170</v>
      </c>
      <c r="C26" s="9" t="s">
        <v>171</v>
      </c>
      <c r="D26" s="5" t="s">
        <v>172</v>
      </c>
      <c r="E26" s="5">
        <v>2017.0</v>
      </c>
      <c r="F26" s="12" t="s">
        <v>42</v>
      </c>
      <c r="G26" s="8" t="s">
        <v>173</v>
      </c>
      <c r="H26" s="5" t="s">
        <v>174</v>
      </c>
      <c r="I26" s="5" t="s">
        <v>175</v>
      </c>
    </row>
    <row r="27">
      <c r="A27" s="5" t="s">
        <v>176</v>
      </c>
      <c r="B27" s="5" t="s">
        <v>177</v>
      </c>
      <c r="C27" s="9" t="s">
        <v>178</v>
      </c>
      <c r="D27" s="5" t="s">
        <v>179</v>
      </c>
      <c r="E27" s="5">
        <v>2017.0</v>
      </c>
      <c r="F27" s="7" t="s">
        <v>57</v>
      </c>
      <c r="G27" s="8" t="s">
        <v>180</v>
      </c>
      <c r="H27" s="5" t="s">
        <v>181</v>
      </c>
      <c r="I27" s="5" t="s">
        <v>182</v>
      </c>
    </row>
    <row r="28">
      <c r="A28" s="5" t="s">
        <v>183</v>
      </c>
      <c r="B28" s="5" t="s">
        <v>184</v>
      </c>
      <c r="C28" s="9" t="s">
        <v>185</v>
      </c>
      <c r="D28" s="5" t="s">
        <v>186</v>
      </c>
      <c r="E28" s="5">
        <v>2017.0</v>
      </c>
      <c r="F28" s="7" t="s">
        <v>57</v>
      </c>
      <c r="G28" s="8" t="s">
        <v>187</v>
      </c>
      <c r="H28" s="5" t="s">
        <v>188</v>
      </c>
      <c r="I28" s="5" t="s">
        <v>189</v>
      </c>
    </row>
    <row r="29">
      <c r="A29" s="5" t="s">
        <v>190</v>
      </c>
      <c r="B29" s="5" t="s">
        <v>191</v>
      </c>
      <c r="C29" s="9" t="s">
        <v>192</v>
      </c>
      <c r="D29" s="5" t="s">
        <v>193</v>
      </c>
      <c r="E29" s="5">
        <v>2017.0</v>
      </c>
      <c r="F29" s="7" t="s">
        <v>57</v>
      </c>
      <c r="G29" s="8" t="s">
        <v>194</v>
      </c>
      <c r="H29" s="5" t="s">
        <v>195</v>
      </c>
      <c r="I29" s="5" t="s">
        <v>196</v>
      </c>
    </row>
    <row r="30">
      <c r="A30" s="5" t="s">
        <v>197</v>
      </c>
      <c r="B30" s="5" t="s">
        <v>198</v>
      </c>
      <c r="C30" s="9" t="s">
        <v>199</v>
      </c>
      <c r="D30" s="13" t="s">
        <v>200</v>
      </c>
      <c r="E30" s="5">
        <v>2017.0</v>
      </c>
      <c r="F30" s="7" t="s">
        <v>91</v>
      </c>
      <c r="G30" s="14"/>
      <c r="H30" s="10"/>
      <c r="I30" s="10"/>
    </row>
    <row r="31">
      <c r="A31" s="5" t="s">
        <v>201</v>
      </c>
      <c r="B31" s="5" t="s">
        <v>202</v>
      </c>
      <c r="C31" s="9" t="s">
        <v>203</v>
      </c>
      <c r="D31" s="5" t="s">
        <v>204</v>
      </c>
      <c r="E31" s="5">
        <v>2017.0</v>
      </c>
      <c r="F31" s="7" t="s">
        <v>42</v>
      </c>
      <c r="G31" s="14"/>
      <c r="H31" s="10"/>
      <c r="I31" s="10"/>
    </row>
    <row r="32">
      <c r="A32" s="5" t="s">
        <v>205</v>
      </c>
      <c r="B32" s="5" t="s">
        <v>206</v>
      </c>
      <c r="C32" s="6" t="s">
        <v>207</v>
      </c>
      <c r="D32" s="5" t="s">
        <v>208</v>
      </c>
      <c r="E32" s="5">
        <v>2017.0</v>
      </c>
      <c r="F32" s="7" t="s">
        <v>91</v>
      </c>
      <c r="G32" s="8"/>
      <c r="H32" s="5" t="s">
        <v>209</v>
      </c>
      <c r="I32" s="5" t="s">
        <v>210</v>
      </c>
    </row>
    <row r="33">
      <c r="A33" s="5" t="s">
        <v>211</v>
      </c>
      <c r="B33" s="5" t="s">
        <v>212</v>
      </c>
      <c r="C33" s="9" t="s">
        <v>213</v>
      </c>
      <c r="D33" s="5" t="s">
        <v>214</v>
      </c>
      <c r="E33" s="5">
        <v>2017.0</v>
      </c>
      <c r="F33" s="7" t="s">
        <v>57</v>
      </c>
      <c r="G33" s="14"/>
      <c r="H33" s="10"/>
      <c r="I33" s="10"/>
    </row>
    <row r="34">
      <c r="A34" s="7" t="s">
        <v>215</v>
      </c>
      <c r="B34" s="7" t="s">
        <v>216</v>
      </c>
      <c r="C34" s="15" t="s">
        <v>217</v>
      </c>
      <c r="D34" s="7" t="s">
        <v>218</v>
      </c>
      <c r="E34" s="7">
        <v>2018.0</v>
      </c>
      <c r="F34" s="7" t="s">
        <v>65</v>
      </c>
      <c r="G34" s="16" t="s">
        <v>219</v>
      </c>
      <c r="H34" s="7" t="s">
        <v>220</v>
      </c>
      <c r="I34" s="12" t="s">
        <v>221</v>
      </c>
    </row>
    <row r="35">
      <c r="A35" s="7" t="s">
        <v>107</v>
      </c>
      <c r="B35" s="7" t="s">
        <v>222</v>
      </c>
      <c r="C35" s="17" t="s">
        <v>223</v>
      </c>
      <c r="D35" s="7" t="s">
        <v>224</v>
      </c>
      <c r="E35" s="7">
        <v>2018.0</v>
      </c>
      <c r="F35" s="7" t="s">
        <v>65</v>
      </c>
      <c r="G35" s="16" t="s">
        <v>225</v>
      </c>
      <c r="H35" s="7" t="s">
        <v>226</v>
      </c>
      <c r="I35" s="7" t="s">
        <v>227</v>
      </c>
    </row>
    <row r="36">
      <c r="A36" s="7" t="s">
        <v>228</v>
      </c>
      <c r="B36" s="7" t="s">
        <v>229</v>
      </c>
      <c r="C36" s="17" t="s">
        <v>230</v>
      </c>
      <c r="D36" s="18" t="s">
        <v>231</v>
      </c>
      <c r="E36" s="7">
        <v>2018.0</v>
      </c>
      <c r="F36" s="7" t="s">
        <v>232</v>
      </c>
      <c r="G36" s="16" t="s">
        <v>233</v>
      </c>
      <c r="H36" s="7" t="s">
        <v>234</v>
      </c>
      <c r="I36" s="7" t="s">
        <v>235</v>
      </c>
    </row>
    <row r="37">
      <c r="A37" s="7" t="s">
        <v>236</v>
      </c>
      <c r="B37" s="7" t="s">
        <v>237</v>
      </c>
      <c r="C37" s="17" t="s">
        <v>238</v>
      </c>
      <c r="D37" s="7" t="s">
        <v>239</v>
      </c>
      <c r="E37" s="7">
        <v>2018.0</v>
      </c>
      <c r="F37" s="7" t="s">
        <v>65</v>
      </c>
      <c r="G37" s="16" t="s">
        <v>240</v>
      </c>
      <c r="H37" s="12" t="s">
        <v>241</v>
      </c>
      <c r="I37" s="12" t="s">
        <v>242</v>
      </c>
    </row>
    <row r="38">
      <c r="A38" s="5" t="s">
        <v>243</v>
      </c>
      <c r="B38" s="5" t="s">
        <v>244</v>
      </c>
      <c r="C38" s="6" t="s">
        <v>245</v>
      </c>
      <c r="D38" s="5" t="s">
        <v>246</v>
      </c>
      <c r="E38" s="5">
        <v>2018.0</v>
      </c>
      <c r="F38" s="7" t="s">
        <v>247</v>
      </c>
      <c r="G38" s="8" t="s">
        <v>21</v>
      </c>
      <c r="H38" s="5" t="s">
        <v>248</v>
      </c>
      <c r="I38" s="5" t="s">
        <v>249</v>
      </c>
    </row>
    <row r="39">
      <c r="A39" s="5" t="s">
        <v>250</v>
      </c>
      <c r="B39" s="5" t="s">
        <v>251</v>
      </c>
      <c r="C39" s="6" t="s">
        <v>252</v>
      </c>
      <c r="D39" s="5" t="s">
        <v>253</v>
      </c>
      <c r="E39" s="5">
        <v>2018.0</v>
      </c>
      <c r="F39" s="7" t="s">
        <v>65</v>
      </c>
      <c r="G39" s="8" t="s">
        <v>21</v>
      </c>
      <c r="H39" s="5" t="s">
        <v>254</v>
      </c>
      <c r="I39" s="5" t="s">
        <v>255</v>
      </c>
    </row>
    <row r="40">
      <c r="A40" s="5" t="s">
        <v>256</v>
      </c>
      <c r="B40" s="5" t="s">
        <v>257</v>
      </c>
      <c r="C40" s="6" t="s">
        <v>258</v>
      </c>
      <c r="D40" s="5" t="s">
        <v>259</v>
      </c>
      <c r="E40" s="5">
        <v>2018.0</v>
      </c>
      <c r="F40" s="7" t="s">
        <v>91</v>
      </c>
      <c r="G40" s="8" t="s">
        <v>43</v>
      </c>
      <c r="H40" s="5" t="s">
        <v>260</v>
      </c>
      <c r="I40" s="5" t="s">
        <v>261</v>
      </c>
    </row>
    <row r="41">
      <c r="A41" s="5" t="s">
        <v>184</v>
      </c>
      <c r="B41" s="5" t="s">
        <v>262</v>
      </c>
      <c r="C41" s="6" t="s">
        <v>263</v>
      </c>
      <c r="D41" s="5" t="s">
        <v>264</v>
      </c>
      <c r="E41" s="5">
        <v>2018.0</v>
      </c>
      <c r="F41" s="7" t="s">
        <v>42</v>
      </c>
      <c r="G41" s="8" t="s">
        <v>50</v>
      </c>
      <c r="H41" s="5" t="s">
        <v>265</v>
      </c>
      <c r="I41" s="5" t="s">
        <v>266</v>
      </c>
    </row>
    <row r="42">
      <c r="A42" s="5" t="s">
        <v>267</v>
      </c>
      <c r="B42" s="5" t="s">
        <v>268</v>
      </c>
      <c r="C42" s="9" t="s">
        <v>269</v>
      </c>
      <c r="D42" s="5" t="s">
        <v>270</v>
      </c>
      <c r="E42" s="5">
        <v>2018.0</v>
      </c>
      <c r="F42" s="7" t="s">
        <v>65</v>
      </c>
      <c r="G42" s="8" t="s">
        <v>50</v>
      </c>
      <c r="H42" s="5" t="s">
        <v>271</v>
      </c>
      <c r="I42" s="5" t="s">
        <v>272</v>
      </c>
    </row>
    <row r="43">
      <c r="A43" s="5" t="s">
        <v>273</v>
      </c>
      <c r="B43" s="5" t="s">
        <v>274</v>
      </c>
      <c r="C43" s="6" t="s">
        <v>275</v>
      </c>
      <c r="D43" s="5" t="s">
        <v>276</v>
      </c>
      <c r="E43" s="5">
        <v>2018.0</v>
      </c>
      <c r="F43" s="7" t="s">
        <v>277</v>
      </c>
      <c r="G43" s="8" t="s">
        <v>134</v>
      </c>
      <c r="H43" s="5" t="s">
        <v>278</v>
      </c>
      <c r="I43" s="5" t="s">
        <v>279</v>
      </c>
    </row>
    <row r="44">
      <c r="A44" s="5" t="s">
        <v>280</v>
      </c>
      <c r="B44" s="5" t="s">
        <v>281</v>
      </c>
      <c r="C44" s="9" t="s">
        <v>282</v>
      </c>
      <c r="D44" s="5" t="s">
        <v>283</v>
      </c>
      <c r="E44" s="5">
        <v>2018.0</v>
      </c>
      <c r="F44" s="7" t="s">
        <v>42</v>
      </c>
      <c r="G44" s="8" t="s">
        <v>284</v>
      </c>
      <c r="H44" s="5" t="s">
        <v>285</v>
      </c>
      <c r="I44" s="5" t="s">
        <v>286</v>
      </c>
    </row>
    <row r="45">
      <c r="A45" s="5" t="s">
        <v>287</v>
      </c>
      <c r="B45" s="5" t="s">
        <v>288</v>
      </c>
      <c r="C45" s="6" t="s">
        <v>289</v>
      </c>
      <c r="D45" s="5" t="s">
        <v>290</v>
      </c>
      <c r="E45" s="5">
        <v>2018.0</v>
      </c>
      <c r="F45" s="7" t="s">
        <v>91</v>
      </c>
      <c r="G45" s="8" t="s">
        <v>291</v>
      </c>
      <c r="H45" s="5" t="s">
        <v>292</v>
      </c>
      <c r="I45" s="5" t="s">
        <v>293</v>
      </c>
    </row>
    <row r="46">
      <c r="A46" s="5" t="s">
        <v>294</v>
      </c>
      <c r="B46" s="5" t="s">
        <v>295</v>
      </c>
      <c r="C46" s="6" t="s">
        <v>296</v>
      </c>
      <c r="D46" s="5" t="s">
        <v>297</v>
      </c>
      <c r="E46" s="5">
        <v>2018.0</v>
      </c>
      <c r="F46" s="11" t="s">
        <v>65</v>
      </c>
      <c r="G46" s="8" t="s">
        <v>43</v>
      </c>
      <c r="H46" s="5" t="s">
        <v>298</v>
      </c>
      <c r="I46" s="5" t="s">
        <v>299</v>
      </c>
    </row>
    <row r="47">
      <c r="A47" s="5" t="s">
        <v>300</v>
      </c>
      <c r="B47" s="5" t="s">
        <v>301</v>
      </c>
      <c r="C47" s="9" t="s">
        <v>302</v>
      </c>
      <c r="D47" s="5" t="s">
        <v>303</v>
      </c>
      <c r="E47" s="5">
        <v>2018.0</v>
      </c>
      <c r="F47" s="11" t="s">
        <v>91</v>
      </c>
      <c r="G47" s="8" t="s">
        <v>154</v>
      </c>
      <c r="H47" s="5" t="s">
        <v>304</v>
      </c>
      <c r="I47" s="5" t="s">
        <v>305</v>
      </c>
    </row>
    <row r="48">
      <c r="A48" s="5" t="s">
        <v>107</v>
      </c>
      <c r="B48" s="5" t="s">
        <v>306</v>
      </c>
      <c r="C48" s="6" t="s">
        <v>307</v>
      </c>
      <c r="D48" s="5" t="s">
        <v>308</v>
      </c>
      <c r="E48" s="5">
        <v>2018.0</v>
      </c>
      <c r="F48" s="7" t="s">
        <v>91</v>
      </c>
      <c r="G48" s="8" t="s">
        <v>154</v>
      </c>
      <c r="H48" s="5" t="s">
        <v>309</v>
      </c>
      <c r="I48" s="5" t="s">
        <v>310</v>
      </c>
    </row>
    <row r="49">
      <c r="A49" s="5" t="s">
        <v>311</v>
      </c>
      <c r="B49" s="5" t="s">
        <v>312</v>
      </c>
      <c r="C49" s="9" t="s">
        <v>313</v>
      </c>
      <c r="D49" s="5" t="s">
        <v>314</v>
      </c>
      <c r="E49" s="5">
        <v>2018.0</v>
      </c>
      <c r="F49" s="7" t="s">
        <v>91</v>
      </c>
      <c r="G49" s="8" t="s">
        <v>315</v>
      </c>
      <c r="H49" s="5" t="s">
        <v>316</v>
      </c>
      <c r="I49" s="5" t="s">
        <v>317</v>
      </c>
    </row>
    <row r="50">
      <c r="A50" s="5" t="s">
        <v>318</v>
      </c>
      <c r="B50" s="5" t="s">
        <v>319</v>
      </c>
      <c r="C50" s="6" t="s">
        <v>320</v>
      </c>
      <c r="D50" s="5" t="s">
        <v>321</v>
      </c>
      <c r="E50" s="5">
        <v>2018.0</v>
      </c>
      <c r="F50" s="7" t="s">
        <v>91</v>
      </c>
      <c r="G50" s="8" t="s">
        <v>322</v>
      </c>
      <c r="H50" s="5" t="s">
        <v>323</v>
      </c>
      <c r="I50" s="5" t="s">
        <v>324</v>
      </c>
    </row>
    <row r="51">
      <c r="A51" s="5" t="s">
        <v>325</v>
      </c>
      <c r="B51" s="5" t="s">
        <v>326</v>
      </c>
      <c r="C51" s="9" t="s">
        <v>327</v>
      </c>
      <c r="D51" s="5" t="s">
        <v>328</v>
      </c>
      <c r="E51" s="5">
        <v>2018.0</v>
      </c>
      <c r="F51" s="7" t="s">
        <v>65</v>
      </c>
      <c r="G51" s="8" t="s">
        <v>329</v>
      </c>
      <c r="H51" s="5" t="s">
        <v>330</v>
      </c>
      <c r="I51" s="5" t="s">
        <v>331</v>
      </c>
    </row>
    <row r="52">
      <c r="A52" s="5" t="s">
        <v>332</v>
      </c>
      <c r="B52" s="5" t="s">
        <v>333</v>
      </c>
      <c r="C52" s="9" t="s">
        <v>334</v>
      </c>
      <c r="D52" s="5" t="s">
        <v>335</v>
      </c>
      <c r="E52" s="5">
        <v>2018.0</v>
      </c>
      <c r="F52" s="7" t="s">
        <v>65</v>
      </c>
      <c r="G52" s="8" t="s">
        <v>336</v>
      </c>
      <c r="H52" s="5" t="s">
        <v>93</v>
      </c>
      <c r="I52" s="5" t="s">
        <v>337</v>
      </c>
    </row>
    <row r="53">
      <c r="A53" s="5" t="s">
        <v>338</v>
      </c>
      <c r="B53" s="5" t="s">
        <v>339</v>
      </c>
      <c r="C53" s="9" t="s">
        <v>340</v>
      </c>
      <c r="D53" s="5" t="s">
        <v>341</v>
      </c>
      <c r="E53" s="5">
        <v>2018.0</v>
      </c>
      <c r="F53" s="7" t="s">
        <v>65</v>
      </c>
      <c r="G53" s="14"/>
      <c r="H53" s="10"/>
      <c r="I53" s="10"/>
    </row>
    <row r="54">
      <c r="A54" s="7" t="s">
        <v>342</v>
      </c>
      <c r="B54" s="7" t="s">
        <v>343</v>
      </c>
      <c r="C54" s="17" t="s">
        <v>344</v>
      </c>
      <c r="D54" s="7" t="s">
        <v>345</v>
      </c>
      <c r="E54" s="7">
        <v>2019.0</v>
      </c>
      <c r="F54" s="7" t="s">
        <v>247</v>
      </c>
      <c r="G54" s="16" t="s">
        <v>346</v>
      </c>
      <c r="H54" s="7" t="s">
        <v>347</v>
      </c>
      <c r="I54" s="7" t="s">
        <v>348</v>
      </c>
    </row>
    <row r="55">
      <c r="A55" s="7" t="s">
        <v>349</v>
      </c>
      <c r="B55" s="7" t="s">
        <v>350</v>
      </c>
      <c r="C55" s="17" t="s">
        <v>351</v>
      </c>
      <c r="D55" s="19" t="s">
        <v>352</v>
      </c>
      <c r="E55" s="7">
        <v>2019.0</v>
      </c>
      <c r="F55" s="7" t="s">
        <v>353</v>
      </c>
      <c r="G55" s="16" t="s">
        <v>240</v>
      </c>
      <c r="H55" s="7" t="s">
        <v>354</v>
      </c>
      <c r="I55" s="7" t="s">
        <v>355</v>
      </c>
    </row>
    <row r="56">
      <c r="A56" s="7" t="s">
        <v>356</v>
      </c>
      <c r="B56" s="7" t="s">
        <v>357</v>
      </c>
      <c r="C56" s="15" t="s">
        <v>358</v>
      </c>
      <c r="D56" s="7" t="s">
        <v>359</v>
      </c>
      <c r="E56" s="7">
        <v>2019.0</v>
      </c>
      <c r="F56" s="7" t="s">
        <v>247</v>
      </c>
      <c r="G56" s="16" t="s">
        <v>360</v>
      </c>
      <c r="H56" s="7" t="s">
        <v>361</v>
      </c>
      <c r="I56" s="7" t="s">
        <v>362</v>
      </c>
    </row>
    <row r="57">
      <c r="A57" s="7" t="s">
        <v>363</v>
      </c>
      <c r="B57" s="7" t="s">
        <v>364</v>
      </c>
      <c r="C57" s="17" t="s">
        <v>365</v>
      </c>
      <c r="D57" s="7" t="s">
        <v>366</v>
      </c>
      <c r="E57" s="7">
        <v>2019.0</v>
      </c>
      <c r="F57" s="7" t="s">
        <v>247</v>
      </c>
      <c r="G57" s="16" t="s">
        <v>367</v>
      </c>
      <c r="H57" s="7" t="s">
        <v>368</v>
      </c>
      <c r="I57" s="7" t="s">
        <v>369</v>
      </c>
    </row>
    <row r="58">
      <c r="A58" s="7" t="s">
        <v>370</v>
      </c>
      <c r="B58" s="7" t="s">
        <v>371</v>
      </c>
      <c r="C58" s="17" t="s">
        <v>372</v>
      </c>
      <c r="D58" s="7" t="s">
        <v>373</v>
      </c>
      <c r="E58" s="7">
        <v>2019.0</v>
      </c>
      <c r="F58" s="7" t="s">
        <v>65</v>
      </c>
      <c r="G58" s="16" t="s">
        <v>21</v>
      </c>
      <c r="H58" s="7" t="s">
        <v>374</v>
      </c>
      <c r="I58" s="7" t="s">
        <v>375</v>
      </c>
    </row>
    <row r="59">
      <c r="A59" s="7" t="s">
        <v>376</v>
      </c>
      <c r="B59" s="7" t="s">
        <v>377</v>
      </c>
      <c r="C59" s="15" t="s">
        <v>378</v>
      </c>
      <c r="D59" s="7" t="s">
        <v>379</v>
      </c>
      <c r="E59" s="7">
        <v>2019.0</v>
      </c>
      <c r="F59" s="7" t="s">
        <v>247</v>
      </c>
      <c r="G59" s="16" t="s">
        <v>21</v>
      </c>
      <c r="H59" s="7" t="s">
        <v>234</v>
      </c>
      <c r="I59" s="7" t="s">
        <v>380</v>
      </c>
    </row>
    <row r="60">
      <c r="A60" s="7" t="s">
        <v>381</v>
      </c>
      <c r="B60" s="7" t="s">
        <v>382</v>
      </c>
      <c r="C60" s="15" t="s">
        <v>383</v>
      </c>
      <c r="D60" s="7" t="s">
        <v>384</v>
      </c>
      <c r="E60" s="7">
        <v>2019.0</v>
      </c>
      <c r="F60" s="7" t="s">
        <v>91</v>
      </c>
      <c r="G60" s="16" t="s">
        <v>21</v>
      </c>
      <c r="H60" s="7" t="s">
        <v>254</v>
      </c>
      <c r="I60" s="7" t="s">
        <v>385</v>
      </c>
    </row>
    <row r="61">
      <c r="A61" s="7" t="s">
        <v>386</v>
      </c>
      <c r="B61" s="7" t="s">
        <v>387</v>
      </c>
      <c r="C61" s="17" t="s">
        <v>388</v>
      </c>
      <c r="D61" s="7" t="s">
        <v>389</v>
      </c>
      <c r="E61" s="7">
        <v>2019.0</v>
      </c>
      <c r="F61" s="7" t="s">
        <v>91</v>
      </c>
      <c r="G61" s="16" t="s">
        <v>14</v>
      </c>
      <c r="H61" s="7" t="s">
        <v>390</v>
      </c>
      <c r="I61" s="7" t="s">
        <v>391</v>
      </c>
    </row>
    <row r="62">
      <c r="A62" s="7" t="s">
        <v>392</v>
      </c>
      <c r="B62" s="7" t="s">
        <v>393</v>
      </c>
      <c r="C62" s="15" t="s">
        <v>394</v>
      </c>
      <c r="D62" s="7" t="s">
        <v>395</v>
      </c>
      <c r="E62" s="7">
        <v>2019.0</v>
      </c>
      <c r="F62" s="7" t="s">
        <v>65</v>
      </c>
      <c r="G62" s="16" t="s">
        <v>14</v>
      </c>
      <c r="H62" s="7" t="s">
        <v>396</v>
      </c>
      <c r="I62" s="7" t="s">
        <v>397</v>
      </c>
    </row>
    <row r="63">
      <c r="A63" s="7" t="s">
        <v>398</v>
      </c>
      <c r="B63" s="7" t="s">
        <v>399</v>
      </c>
      <c r="C63" s="17" t="s">
        <v>400</v>
      </c>
      <c r="D63" s="19" t="s">
        <v>401</v>
      </c>
      <c r="E63" s="7">
        <v>2019.0</v>
      </c>
      <c r="F63" s="7" t="s">
        <v>232</v>
      </c>
      <c r="G63" s="16" t="s">
        <v>14</v>
      </c>
      <c r="H63" s="7" t="s">
        <v>402</v>
      </c>
      <c r="I63" s="7" t="s">
        <v>403</v>
      </c>
    </row>
    <row r="64">
      <c r="A64" s="7" t="s">
        <v>404</v>
      </c>
      <c r="B64" s="7" t="s">
        <v>405</v>
      </c>
      <c r="C64" s="17" t="s">
        <v>406</v>
      </c>
      <c r="D64" s="7" t="s">
        <v>407</v>
      </c>
      <c r="E64" s="7">
        <v>2019.0</v>
      </c>
      <c r="F64" s="7" t="s">
        <v>247</v>
      </c>
      <c r="G64" s="16" t="s">
        <v>43</v>
      </c>
      <c r="H64" s="7" t="s">
        <v>408</v>
      </c>
      <c r="I64" s="7" t="s">
        <v>409</v>
      </c>
    </row>
    <row r="65">
      <c r="A65" s="7" t="s">
        <v>410</v>
      </c>
      <c r="B65" s="7" t="s">
        <v>411</v>
      </c>
      <c r="C65" s="15" t="s">
        <v>412</v>
      </c>
      <c r="D65" s="7" t="s">
        <v>413</v>
      </c>
      <c r="E65" s="7">
        <v>2019.0</v>
      </c>
      <c r="F65" s="7" t="s">
        <v>232</v>
      </c>
      <c r="G65" s="16" t="s">
        <v>43</v>
      </c>
      <c r="H65" s="7" t="s">
        <v>226</v>
      </c>
      <c r="I65" s="7" t="s">
        <v>414</v>
      </c>
    </row>
    <row r="66">
      <c r="A66" s="7" t="s">
        <v>415</v>
      </c>
      <c r="B66" s="7" t="s">
        <v>416</v>
      </c>
      <c r="C66" s="15" t="s">
        <v>417</v>
      </c>
      <c r="D66" s="7" t="s">
        <v>418</v>
      </c>
      <c r="E66" s="7">
        <v>2019.0</v>
      </c>
      <c r="F66" s="7" t="s">
        <v>232</v>
      </c>
      <c r="G66" s="16" t="s">
        <v>419</v>
      </c>
      <c r="H66" s="7" t="s">
        <v>420</v>
      </c>
      <c r="I66" s="7" t="s">
        <v>421</v>
      </c>
    </row>
    <row r="67">
      <c r="A67" s="7" t="s">
        <v>422</v>
      </c>
      <c r="B67" s="7" t="s">
        <v>423</v>
      </c>
      <c r="C67" s="15" t="s">
        <v>424</v>
      </c>
      <c r="D67" s="7" t="s">
        <v>425</v>
      </c>
      <c r="E67" s="7">
        <v>2019.0</v>
      </c>
      <c r="F67" s="7" t="s">
        <v>65</v>
      </c>
      <c r="G67" s="16" t="s">
        <v>426</v>
      </c>
      <c r="H67" s="7" t="s">
        <v>427</v>
      </c>
      <c r="I67" s="7" t="s">
        <v>428</v>
      </c>
    </row>
    <row r="68">
      <c r="A68" s="7" t="s">
        <v>429</v>
      </c>
      <c r="B68" s="7" t="s">
        <v>430</v>
      </c>
      <c r="C68" s="15" t="s">
        <v>431</v>
      </c>
      <c r="D68" s="7" t="s">
        <v>432</v>
      </c>
      <c r="E68" s="7">
        <v>2019.0</v>
      </c>
      <c r="F68" s="7" t="s">
        <v>232</v>
      </c>
      <c r="G68" s="16" t="s">
        <v>433</v>
      </c>
      <c r="H68" s="7" t="s">
        <v>434</v>
      </c>
      <c r="I68" s="7" t="s">
        <v>435</v>
      </c>
    </row>
    <row r="69">
      <c r="A69" s="7" t="s">
        <v>436</v>
      </c>
      <c r="B69" s="7" t="s">
        <v>437</v>
      </c>
      <c r="C69" s="15" t="s">
        <v>438</v>
      </c>
      <c r="D69" s="7" t="s">
        <v>439</v>
      </c>
      <c r="E69" s="7">
        <v>2019.0</v>
      </c>
      <c r="F69" s="7" t="s">
        <v>232</v>
      </c>
      <c r="G69" s="16" t="s">
        <v>154</v>
      </c>
      <c r="H69" s="7" t="s">
        <v>440</v>
      </c>
      <c r="I69" s="7" t="s">
        <v>441</v>
      </c>
    </row>
    <row r="70">
      <c r="A70" s="7" t="s">
        <v>442</v>
      </c>
      <c r="B70" s="7" t="s">
        <v>443</v>
      </c>
      <c r="C70" s="17" t="s">
        <v>444</v>
      </c>
      <c r="D70" s="7" t="s">
        <v>445</v>
      </c>
      <c r="E70" s="7">
        <v>2019.0</v>
      </c>
      <c r="F70" s="7" t="s">
        <v>232</v>
      </c>
      <c r="G70" s="16" t="s">
        <v>166</v>
      </c>
      <c r="H70" s="7" t="s">
        <v>446</v>
      </c>
      <c r="I70" s="7" t="s">
        <v>447</v>
      </c>
    </row>
    <row r="71">
      <c r="A71" s="7" t="s">
        <v>448</v>
      </c>
      <c r="B71" s="7" t="s">
        <v>449</v>
      </c>
      <c r="C71" s="17" t="s">
        <v>450</v>
      </c>
      <c r="D71" s="7" t="s">
        <v>451</v>
      </c>
      <c r="E71" s="7">
        <v>2019.0</v>
      </c>
      <c r="F71" s="7" t="s">
        <v>65</v>
      </c>
      <c r="G71" s="16" t="s">
        <v>166</v>
      </c>
      <c r="H71" s="7" t="s">
        <v>254</v>
      </c>
      <c r="I71" s="7" t="s">
        <v>452</v>
      </c>
    </row>
    <row r="72">
      <c r="A72" s="7" t="s">
        <v>453</v>
      </c>
      <c r="B72" s="7" t="s">
        <v>454</v>
      </c>
      <c r="C72" s="17" t="s">
        <v>455</v>
      </c>
      <c r="D72" s="7" t="s">
        <v>456</v>
      </c>
      <c r="E72" s="7">
        <v>2019.0</v>
      </c>
      <c r="F72" s="7" t="s">
        <v>247</v>
      </c>
      <c r="G72" s="16" t="s">
        <v>315</v>
      </c>
      <c r="H72" s="7" t="s">
        <v>106</v>
      </c>
      <c r="I72" s="7" t="s">
        <v>457</v>
      </c>
    </row>
    <row r="73">
      <c r="A73" s="7" t="s">
        <v>458</v>
      </c>
      <c r="B73" s="7" t="s">
        <v>459</v>
      </c>
      <c r="C73" s="17" t="s">
        <v>460</v>
      </c>
      <c r="D73" s="7" t="s">
        <v>461</v>
      </c>
      <c r="E73" s="7">
        <v>2019.0</v>
      </c>
      <c r="F73" s="7" t="s">
        <v>91</v>
      </c>
      <c r="G73" s="16" t="s">
        <v>462</v>
      </c>
      <c r="H73" s="7" t="s">
        <v>463</v>
      </c>
      <c r="I73" s="7" t="s">
        <v>464</v>
      </c>
    </row>
    <row r="74">
      <c r="A74" s="7" t="s">
        <v>465</v>
      </c>
      <c r="B74" s="7" t="s">
        <v>466</v>
      </c>
      <c r="C74" s="17" t="s">
        <v>467</v>
      </c>
      <c r="D74" s="7" t="s">
        <v>468</v>
      </c>
      <c r="E74" s="7">
        <v>2019.0</v>
      </c>
      <c r="F74" s="7" t="s">
        <v>65</v>
      </c>
      <c r="G74" s="16" t="s">
        <v>469</v>
      </c>
      <c r="H74" s="7" t="s">
        <v>470</v>
      </c>
      <c r="I74" s="7" t="s">
        <v>471</v>
      </c>
    </row>
    <row r="75">
      <c r="A75" s="7" t="s">
        <v>410</v>
      </c>
      <c r="B75" s="7" t="s">
        <v>472</v>
      </c>
      <c r="C75" s="15" t="s">
        <v>473</v>
      </c>
      <c r="D75" s="7" t="s">
        <v>474</v>
      </c>
      <c r="E75" s="7">
        <v>2019.0</v>
      </c>
      <c r="F75" s="7" t="s">
        <v>353</v>
      </c>
      <c r="G75" s="16" t="s">
        <v>475</v>
      </c>
      <c r="H75" s="7" t="s">
        <v>476</v>
      </c>
      <c r="I75" s="7" t="s">
        <v>477</v>
      </c>
    </row>
    <row r="76">
      <c r="A76" s="7" t="s">
        <v>478</v>
      </c>
      <c r="B76" s="7" t="s">
        <v>479</v>
      </c>
      <c r="C76" s="15" t="s">
        <v>480</v>
      </c>
      <c r="D76" s="7" t="s">
        <v>481</v>
      </c>
      <c r="E76" s="7">
        <v>2019.0</v>
      </c>
      <c r="F76" s="7" t="s">
        <v>65</v>
      </c>
      <c r="G76" s="16" t="s">
        <v>482</v>
      </c>
      <c r="H76" s="7" t="s">
        <v>483</v>
      </c>
      <c r="I76" s="7" t="s">
        <v>484</v>
      </c>
    </row>
    <row r="77">
      <c r="A77" s="5" t="s">
        <v>130</v>
      </c>
      <c r="B77" s="5" t="s">
        <v>485</v>
      </c>
      <c r="C77" s="6" t="s">
        <v>486</v>
      </c>
      <c r="D77" s="5" t="s">
        <v>487</v>
      </c>
      <c r="E77" s="5">
        <v>2020.0</v>
      </c>
      <c r="F77" s="7" t="s">
        <v>353</v>
      </c>
      <c r="G77" s="8" t="s">
        <v>21</v>
      </c>
      <c r="H77" s="5" t="s">
        <v>488</v>
      </c>
      <c r="I77" s="5" t="s">
        <v>489</v>
      </c>
    </row>
    <row r="78">
      <c r="A78" s="5" t="s">
        <v>490</v>
      </c>
      <c r="B78" s="5" t="s">
        <v>491</v>
      </c>
      <c r="C78" s="6" t="s">
        <v>492</v>
      </c>
      <c r="D78" s="5" t="s">
        <v>493</v>
      </c>
      <c r="E78" s="5">
        <v>2020.0</v>
      </c>
      <c r="F78" s="7" t="s">
        <v>353</v>
      </c>
      <c r="G78" s="8" t="s">
        <v>21</v>
      </c>
      <c r="H78" s="5" t="s">
        <v>123</v>
      </c>
      <c r="I78" s="5" t="s">
        <v>494</v>
      </c>
    </row>
    <row r="79">
      <c r="A79" s="5" t="s">
        <v>495</v>
      </c>
      <c r="B79" s="5" t="s">
        <v>496</v>
      </c>
      <c r="C79" s="6" t="s">
        <v>497</v>
      </c>
      <c r="D79" s="5" t="s">
        <v>498</v>
      </c>
      <c r="E79" s="5">
        <v>2020.0</v>
      </c>
      <c r="F79" s="7" t="s">
        <v>499</v>
      </c>
      <c r="G79" s="8" t="s">
        <v>21</v>
      </c>
      <c r="H79" s="5" t="s">
        <v>330</v>
      </c>
      <c r="I79" s="5" t="s">
        <v>500</v>
      </c>
    </row>
    <row r="80">
      <c r="A80" s="5" t="s">
        <v>125</v>
      </c>
      <c r="B80" s="5" t="s">
        <v>501</v>
      </c>
      <c r="C80" s="6" t="s">
        <v>502</v>
      </c>
      <c r="D80" s="5" t="s">
        <v>503</v>
      </c>
      <c r="E80" s="5">
        <v>2020.0</v>
      </c>
      <c r="F80" s="7" t="s">
        <v>353</v>
      </c>
      <c r="G80" s="8" t="s">
        <v>21</v>
      </c>
      <c r="H80" s="5" t="s">
        <v>504</v>
      </c>
      <c r="I80" s="5" t="s">
        <v>505</v>
      </c>
    </row>
    <row r="81">
      <c r="A81" s="5" t="s">
        <v>506</v>
      </c>
      <c r="B81" s="5" t="s">
        <v>507</v>
      </c>
      <c r="C81" s="6" t="s">
        <v>508</v>
      </c>
      <c r="D81" s="5" t="s">
        <v>509</v>
      </c>
      <c r="E81" s="5">
        <v>2020.0</v>
      </c>
      <c r="F81" s="7" t="s">
        <v>353</v>
      </c>
      <c r="G81" s="8" t="s">
        <v>21</v>
      </c>
      <c r="H81" s="5" t="s">
        <v>510</v>
      </c>
      <c r="I81" s="5" t="s">
        <v>511</v>
      </c>
    </row>
    <row r="82">
      <c r="A82" s="5" t="s">
        <v>512</v>
      </c>
      <c r="B82" s="5" t="s">
        <v>513</v>
      </c>
      <c r="C82" s="6" t="s">
        <v>514</v>
      </c>
      <c r="D82" s="5" t="s">
        <v>515</v>
      </c>
      <c r="E82" s="5">
        <v>2020.0</v>
      </c>
      <c r="F82" s="7" t="s">
        <v>232</v>
      </c>
      <c r="G82" s="8" t="s">
        <v>21</v>
      </c>
      <c r="H82" s="5" t="s">
        <v>234</v>
      </c>
      <c r="I82" s="5" t="s">
        <v>516</v>
      </c>
    </row>
    <row r="83">
      <c r="A83" s="5" t="s">
        <v>517</v>
      </c>
      <c r="B83" s="5" t="s">
        <v>518</v>
      </c>
      <c r="C83" s="6" t="s">
        <v>519</v>
      </c>
      <c r="D83" s="5" t="s">
        <v>520</v>
      </c>
      <c r="E83" s="5">
        <v>2020.0</v>
      </c>
      <c r="F83" s="7" t="s">
        <v>353</v>
      </c>
      <c r="G83" s="8" t="s">
        <v>21</v>
      </c>
      <c r="H83" s="5" t="s">
        <v>521</v>
      </c>
      <c r="I83" s="5" t="s">
        <v>522</v>
      </c>
    </row>
    <row r="84">
      <c r="A84" s="5" t="s">
        <v>523</v>
      </c>
      <c r="B84" s="5" t="s">
        <v>524</v>
      </c>
      <c r="C84" s="6" t="s">
        <v>525</v>
      </c>
      <c r="D84" s="5" t="s">
        <v>526</v>
      </c>
      <c r="E84" s="5">
        <v>2020.0</v>
      </c>
      <c r="F84" s="7" t="s">
        <v>353</v>
      </c>
      <c r="G84" s="8" t="s">
        <v>21</v>
      </c>
      <c r="H84" s="5" t="s">
        <v>527</v>
      </c>
      <c r="I84" s="5" t="s">
        <v>528</v>
      </c>
    </row>
    <row r="85">
      <c r="A85" s="5" t="s">
        <v>529</v>
      </c>
      <c r="B85" s="5" t="s">
        <v>530</v>
      </c>
      <c r="C85" s="6" t="s">
        <v>531</v>
      </c>
      <c r="D85" s="5" t="s">
        <v>532</v>
      </c>
      <c r="E85" s="5">
        <v>2020.0</v>
      </c>
      <c r="F85" s="7" t="s">
        <v>232</v>
      </c>
      <c r="G85" s="8" t="s">
        <v>21</v>
      </c>
      <c r="H85" s="5" t="s">
        <v>533</v>
      </c>
      <c r="I85" s="5" t="s">
        <v>534</v>
      </c>
    </row>
    <row r="86">
      <c r="A86" s="5" t="s">
        <v>535</v>
      </c>
      <c r="B86" s="5" t="s">
        <v>212</v>
      </c>
      <c r="C86" s="6" t="s">
        <v>536</v>
      </c>
      <c r="D86" s="5" t="s">
        <v>537</v>
      </c>
      <c r="E86" s="5">
        <v>2020.0</v>
      </c>
      <c r="F86" s="7" t="s">
        <v>232</v>
      </c>
      <c r="G86" s="8" t="s">
        <v>21</v>
      </c>
      <c r="H86" s="5" t="s">
        <v>538</v>
      </c>
      <c r="I86" s="5" t="s">
        <v>539</v>
      </c>
    </row>
    <row r="87">
      <c r="A87" s="5" t="s">
        <v>540</v>
      </c>
      <c r="B87" s="5" t="s">
        <v>541</v>
      </c>
      <c r="C87" s="6" t="s">
        <v>542</v>
      </c>
      <c r="D87" s="5" t="s">
        <v>543</v>
      </c>
      <c r="E87" s="5">
        <v>2020.0</v>
      </c>
      <c r="F87" s="7" t="s">
        <v>232</v>
      </c>
      <c r="G87" s="8" t="s">
        <v>21</v>
      </c>
      <c r="H87" s="5" t="s">
        <v>544</v>
      </c>
      <c r="I87" s="5" t="s">
        <v>249</v>
      </c>
    </row>
    <row r="88">
      <c r="A88" s="5" t="s">
        <v>201</v>
      </c>
      <c r="B88" s="5" t="s">
        <v>545</v>
      </c>
      <c r="C88" s="6" t="s">
        <v>546</v>
      </c>
      <c r="D88" s="5" t="s">
        <v>547</v>
      </c>
      <c r="E88" s="5">
        <v>2020.0</v>
      </c>
      <c r="F88" s="7" t="s">
        <v>353</v>
      </c>
      <c r="G88" s="8" t="s">
        <v>14</v>
      </c>
      <c r="H88" s="5" t="s">
        <v>548</v>
      </c>
      <c r="I88" s="5" t="s">
        <v>549</v>
      </c>
    </row>
    <row r="89">
      <c r="A89" s="5" t="s">
        <v>404</v>
      </c>
      <c r="B89" s="5" t="s">
        <v>550</v>
      </c>
      <c r="C89" s="6" t="s">
        <v>551</v>
      </c>
      <c r="D89" s="5" t="s">
        <v>552</v>
      </c>
      <c r="E89" s="5">
        <v>2020.0</v>
      </c>
      <c r="F89" s="11" t="s">
        <v>353</v>
      </c>
      <c r="G89" s="8" t="s">
        <v>43</v>
      </c>
      <c r="H89" s="5" t="s">
        <v>553</v>
      </c>
      <c r="I89" s="5" t="s">
        <v>554</v>
      </c>
    </row>
    <row r="90">
      <c r="A90" s="5" t="s">
        <v>555</v>
      </c>
      <c r="B90" s="5" t="s">
        <v>556</v>
      </c>
      <c r="C90" s="6" t="s">
        <v>557</v>
      </c>
      <c r="D90" s="5" t="s">
        <v>558</v>
      </c>
      <c r="E90" s="5">
        <v>2020.0</v>
      </c>
      <c r="F90" s="5" t="s">
        <v>499</v>
      </c>
      <c r="G90" s="8" t="s">
        <v>43</v>
      </c>
      <c r="H90" s="5" t="s">
        <v>559</v>
      </c>
      <c r="I90" s="5" t="s">
        <v>560</v>
      </c>
    </row>
    <row r="91">
      <c r="A91" s="5" t="s">
        <v>561</v>
      </c>
      <c r="B91" s="5" t="s">
        <v>562</v>
      </c>
      <c r="C91" s="6" t="s">
        <v>563</v>
      </c>
      <c r="D91" s="5" t="s">
        <v>564</v>
      </c>
      <c r="E91" s="5">
        <v>2020.0</v>
      </c>
      <c r="F91" s="7" t="s">
        <v>499</v>
      </c>
      <c r="G91" s="8" t="s">
        <v>50</v>
      </c>
      <c r="H91" s="5" t="s">
        <v>559</v>
      </c>
      <c r="I91" s="5" t="s">
        <v>101</v>
      </c>
    </row>
    <row r="92">
      <c r="A92" s="5" t="s">
        <v>565</v>
      </c>
      <c r="B92" s="5" t="s">
        <v>566</v>
      </c>
      <c r="C92" s="6" t="s">
        <v>567</v>
      </c>
      <c r="D92" s="5" t="s">
        <v>568</v>
      </c>
      <c r="E92" s="5">
        <v>2020.0</v>
      </c>
      <c r="F92" s="7" t="s">
        <v>499</v>
      </c>
      <c r="G92" s="8" t="s">
        <v>43</v>
      </c>
      <c r="H92" s="20" t="s">
        <v>569</v>
      </c>
      <c r="I92" s="5" t="s">
        <v>570</v>
      </c>
    </row>
    <row r="93">
      <c r="A93" s="5" t="s">
        <v>571</v>
      </c>
      <c r="B93" s="5" t="s">
        <v>572</v>
      </c>
      <c r="C93" s="6" t="s">
        <v>573</v>
      </c>
      <c r="D93" s="5" t="s">
        <v>574</v>
      </c>
      <c r="E93" s="5">
        <v>2020.0</v>
      </c>
      <c r="F93" s="11" t="s">
        <v>353</v>
      </c>
      <c r="G93" s="8" t="s">
        <v>50</v>
      </c>
      <c r="H93" s="5" t="s">
        <v>575</v>
      </c>
      <c r="I93" s="5" t="s">
        <v>576</v>
      </c>
    </row>
    <row r="94">
      <c r="A94" s="5" t="s">
        <v>577</v>
      </c>
      <c r="B94" s="5" t="s">
        <v>578</v>
      </c>
      <c r="C94" s="6" t="s">
        <v>579</v>
      </c>
      <c r="D94" s="5" t="s">
        <v>580</v>
      </c>
      <c r="E94" s="5">
        <v>2020.0</v>
      </c>
      <c r="F94" s="7" t="s">
        <v>232</v>
      </c>
      <c r="G94" s="8" t="s">
        <v>50</v>
      </c>
      <c r="H94" s="5" t="s">
        <v>581</v>
      </c>
      <c r="I94" s="5" t="s">
        <v>582</v>
      </c>
    </row>
    <row r="95">
      <c r="A95" s="5" t="s">
        <v>184</v>
      </c>
      <c r="B95" s="5" t="s">
        <v>583</v>
      </c>
      <c r="C95" s="6" t="s">
        <v>584</v>
      </c>
      <c r="D95" s="5" t="s">
        <v>585</v>
      </c>
      <c r="E95" s="5">
        <v>2020.0</v>
      </c>
      <c r="F95" s="7" t="s">
        <v>499</v>
      </c>
      <c r="G95" s="8" t="s">
        <v>50</v>
      </c>
      <c r="H95" s="5" t="s">
        <v>586</v>
      </c>
      <c r="I95" s="5" t="s">
        <v>235</v>
      </c>
    </row>
    <row r="96">
      <c r="A96" s="5" t="s">
        <v>587</v>
      </c>
      <c r="B96" s="5" t="s">
        <v>588</v>
      </c>
      <c r="C96" s="6" t="s">
        <v>589</v>
      </c>
      <c r="D96" s="5" t="s">
        <v>590</v>
      </c>
      <c r="E96" s="5">
        <v>2020.0</v>
      </c>
      <c r="F96" s="7" t="s">
        <v>353</v>
      </c>
      <c r="G96" s="8" t="s">
        <v>58</v>
      </c>
      <c r="H96" s="5" t="s">
        <v>591</v>
      </c>
      <c r="I96" s="5" t="s">
        <v>592</v>
      </c>
    </row>
    <row r="97">
      <c r="A97" s="5" t="s">
        <v>593</v>
      </c>
      <c r="B97" s="5" t="s">
        <v>594</v>
      </c>
      <c r="C97" s="6" t="s">
        <v>595</v>
      </c>
      <c r="D97" s="5" t="s">
        <v>596</v>
      </c>
      <c r="E97" s="5">
        <v>2020.0</v>
      </c>
      <c r="F97" s="7" t="s">
        <v>353</v>
      </c>
      <c r="G97" s="8" t="s">
        <v>597</v>
      </c>
      <c r="H97" s="5" t="s">
        <v>598</v>
      </c>
      <c r="I97" s="5" t="s">
        <v>599</v>
      </c>
    </row>
    <row r="98">
      <c r="A98" s="5" t="s">
        <v>561</v>
      </c>
      <c r="B98" s="5" t="s">
        <v>600</v>
      </c>
      <c r="C98" s="6" t="s">
        <v>601</v>
      </c>
      <c r="D98" s="5" t="s">
        <v>602</v>
      </c>
      <c r="E98" s="5">
        <v>2020.0</v>
      </c>
      <c r="F98" s="7" t="s">
        <v>232</v>
      </c>
      <c r="G98" s="8" t="s">
        <v>603</v>
      </c>
      <c r="H98" s="5" t="s">
        <v>604</v>
      </c>
      <c r="I98" s="5" t="s">
        <v>605</v>
      </c>
    </row>
    <row r="99">
      <c r="A99" s="5" t="s">
        <v>606</v>
      </c>
      <c r="B99" s="5" t="s">
        <v>607</v>
      </c>
      <c r="C99" s="6" t="s">
        <v>608</v>
      </c>
      <c r="D99" s="5" t="s">
        <v>609</v>
      </c>
      <c r="E99" s="5">
        <v>2020.0</v>
      </c>
      <c r="F99" s="7" t="s">
        <v>499</v>
      </c>
      <c r="G99" s="8" t="s">
        <v>610</v>
      </c>
      <c r="H99" s="5" t="s">
        <v>611</v>
      </c>
      <c r="I99" s="5" t="s">
        <v>612</v>
      </c>
    </row>
    <row r="100">
      <c r="A100" s="5" t="s">
        <v>613</v>
      </c>
      <c r="B100" s="5" t="s">
        <v>614</v>
      </c>
      <c r="C100" s="6" t="s">
        <v>615</v>
      </c>
      <c r="D100" s="5" t="s">
        <v>616</v>
      </c>
      <c r="E100" s="5">
        <v>2020.0</v>
      </c>
      <c r="F100" s="7" t="s">
        <v>247</v>
      </c>
      <c r="G100" s="8" t="s">
        <v>426</v>
      </c>
      <c r="H100" s="5" t="s">
        <v>617</v>
      </c>
      <c r="I100" s="5" t="s">
        <v>618</v>
      </c>
    </row>
    <row r="101">
      <c r="A101" s="5" t="s">
        <v>243</v>
      </c>
      <c r="B101" s="5" t="s">
        <v>371</v>
      </c>
      <c r="C101" s="9" t="s">
        <v>619</v>
      </c>
      <c r="D101" s="5" t="s">
        <v>620</v>
      </c>
      <c r="E101" s="5">
        <v>2020.0</v>
      </c>
      <c r="F101" s="7" t="s">
        <v>13</v>
      </c>
      <c r="G101" s="8" t="s">
        <v>610</v>
      </c>
      <c r="H101" s="5" t="s">
        <v>621</v>
      </c>
      <c r="I101" s="5" t="s">
        <v>622</v>
      </c>
    </row>
    <row r="102">
      <c r="A102" s="5" t="s">
        <v>623</v>
      </c>
      <c r="B102" s="5" t="s">
        <v>624</v>
      </c>
      <c r="C102" s="6" t="s">
        <v>625</v>
      </c>
      <c r="D102" s="5" t="s">
        <v>626</v>
      </c>
      <c r="E102" s="5">
        <v>2020.0</v>
      </c>
      <c r="F102" s="11" t="s">
        <v>353</v>
      </c>
      <c r="G102" s="8" t="s">
        <v>166</v>
      </c>
      <c r="H102" s="5" t="s">
        <v>627</v>
      </c>
      <c r="I102" s="5" t="s">
        <v>628</v>
      </c>
    </row>
    <row r="103">
      <c r="A103" s="5" t="s">
        <v>629</v>
      </c>
      <c r="B103" s="5" t="s">
        <v>312</v>
      </c>
      <c r="C103" s="6" t="s">
        <v>630</v>
      </c>
      <c r="D103" s="5" t="s">
        <v>631</v>
      </c>
      <c r="E103" s="5">
        <v>2020.0</v>
      </c>
      <c r="F103" s="7" t="s">
        <v>247</v>
      </c>
      <c r="G103" s="8" t="s">
        <v>154</v>
      </c>
      <c r="H103" s="5" t="s">
        <v>632</v>
      </c>
      <c r="I103" s="5" t="s">
        <v>633</v>
      </c>
    </row>
    <row r="104">
      <c r="A104" s="7" t="s">
        <v>634</v>
      </c>
      <c r="B104" s="7" t="s">
        <v>635</v>
      </c>
      <c r="C104" s="15" t="s">
        <v>636</v>
      </c>
      <c r="D104" s="7" t="s">
        <v>637</v>
      </c>
      <c r="E104" s="7">
        <v>2020.0</v>
      </c>
      <c r="F104" s="7" t="s">
        <v>353</v>
      </c>
      <c r="G104" s="16" t="s">
        <v>154</v>
      </c>
      <c r="H104" s="7" t="s">
        <v>234</v>
      </c>
      <c r="I104" s="7" t="s">
        <v>638</v>
      </c>
    </row>
    <row r="105">
      <c r="A105" s="7" t="s">
        <v>639</v>
      </c>
      <c r="B105" s="7" t="s">
        <v>640</v>
      </c>
      <c r="C105" s="15" t="s">
        <v>641</v>
      </c>
      <c r="D105" s="7" t="s">
        <v>642</v>
      </c>
      <c r="E105" s="7">
        <v>2020.0</v>
      </c>
      <c r="F105" s="7" t="s">
        <v>247</v>
      </c>
      <c r="G105" s="21" t="s">
        <v>643</v>
      </c>
      <c r="H105" s="12" t="s">
        <v>643</v>
      </c>
      <c r="I105" s="12" t="s">
        <v>643</v>
      </c>
    </row>
    <row r="106">
      <c r="A106" s="7" t="s">
        <v>644</v>
      </c>
      <c r="B106" s="7" t="s">
        <v>645</v>
      </c>
      <c r="C106" s="15" t="s">
        <v>646</v>
      </c>
      <c r="D106" s="7" t="s">
        <v>647</v>
      </c>
      <c r="E106" s="7">
        <v>2020.0</v>
      </c>
      <c r="F106" s="7" t="s">
        <v>232</v>
      </c>
      <c r="G106" s="16" t="s">
        <v>648</v>
      </c>
      <c r="H106" s="7" t="s">
        <v>298</v>
      </c>
      <c r="I106" s="7" t="s">
        <v>649</v>
      </c>
    </row>
    <row r="107">
      <c r="A107" s="5" t="s">
        <v>650</v>
      </c>
      <c r="B107" s="5" t="s">
        <v>651</v>
      </c>
      <c r="C107" s="6" t="s">
        <v>652</v>
      </c>
      <c r="D107" s="5" t="s">
        <v>653</v>
      </c>
      <c r="E107" s="5">
        <v>2021.0</v>
      </c>
      <c r="F107" s="7" t="s">
        <v>353</v>
      </c>
      <c r="G107" s="8" t="s">
        <v>648</v>
      </c>
      <c r="H107" s="5" t="s">
        <v>654</v>
      </c>
      <c r="I107" s="5" t="s">
        <v>655</v>
      </c>
    </row>
    <row r="108">
      <c r="A108" s="5" t="s">
        <v>656</v>
      </c>
      <c r="B108" s="5" t="s">
        <v>429</v>
      </c>
      <c r="C108" s="6" t="s">
        <v>657</v>
      </c>
      <c r="D108" s="5" t="s">
        <v>658</v>
      </c>
      <c r="E108" s="5">
        <v>2021.0</v>
      </c>
      <c r="F108" s="7" t="s">
        <v>499</v>
      </c>
      <c r="G108" s="8" t="s">
        <v>21</v>
      </c>
      <c r="H108" s="5" t="s">
        <v>234</v>
      </c>
      <c r="I108" s="5" t="s">
        <v>511</v>
      </c>
    </row>
    <row r="109">
      <c r="A109" s="5" t="s">
        <v>659</v>
      </c>
      <c r="B109" s="5" t="s">
        <v>660</v>
      </c>
      <c r="C109" s="9" t="s">
        <v>661</v>
      </c>
      <c r="D109" s="5" t="s">
        <v>662</v>
      </c>
      <c r="E109" s="5">
        <v>2021.0</v>
      </c>
      <c r="F109" s="12" t="s">
        <v>663</v>
      </c>
      <c r="G109" s="8" t="s">
        <v>21</v>
      </c>
      <c r="H109" s="5" t="s">
        <v>664</v>
      </c>
      <c r="I109" s="5" t="s">
        <v>665</v>
      </c>
    </row>
    <row r="110">
      <c r="A110" s="5" t="s">
        <v>666</v>
      </c>
      <c r="B110" s="5" t="s">
        <v>667</v>
      </c>
      <c r="C110" s="6" t="s">
        <v>668</v>
      </c>
      <c r="D110" s="5" t="s">
        <v>669</v>
      </c>
      <c r="E110" s="5">
        <v>2021.0</v>
      </c>
      <c r="F110" s="12" t="s">
        <v>499</v>
      </c>
      <c r="G110" s="8" t="s">
        <v>21</v>
      </c>
      <c r="H110" s="10"/>
      <c r="I110" s="10"/>
    </row>
    <row r="111">
      <c r="A111" s="5" t="s">
        <v>670</v>
      </c>
      <c r="B111" s="5" t="s">
        <v>671</v>
      </c>
      <c r="C111" s="6" t="s">
        <v>672</v>
      </c>
      <c r="D111" s="5" t="s">
        <v>673</v>
      </c>
      <c r="E111" s="5">
        <v>2021.0</v>
      </c>
      <c r="F111" s="7" t="s">
        <v>499</v>
      </c>
      <c r="G111" s="8" t="s">
        <v>14</v>
      </c>
      <c r="H111" s="5" t="s">
        <v>674</v>
      </c>
      <c r="I111" s="5" t="s">
        <v>675</v>
      </c>
    </row>
    <row r="112">
      <c r="A112" s="5" t="s">
        <v>676</v>
      </c>
      <c r="B112" s="5" t="s">
        <v>677</v>
      </c>
      <c r="C112" s="9" t="s">
        <v>678</v>
      </c>
      <c r="D112" s="13" t="s">
        <v>679</v>
      </c>
      <c r="E112" s="5">
        <v>2021.0</v>
      </c>
      <c r="F112" s="5" t="s">
        <v>663</v>
      </c>
      <c r="G112" s="8" t="s">
        <v>43</v>
      </c>
      <c r="H112" s="5" t="s">
        <v>680</v>
      </c>
      <c r="I112" s="5" t="s">
        <v>681</v>
      </c>
    </row>
    <row r="113">
      <c r="A113" s="5" t="s">
        <v>107</v>
      </c>
      <c r="B113" s="5" t="s">
        <v>682</v>
      </c>
      <c r="C113" s="9" t="s">
        <v>683</v>
      </c>
      <c r="D113" s="5" t="s">
        <v>684</v>
      </c>
      <c r="E113" s="5">
        <v>2021.0</v>
      </c>
      <c r="F113" s="5" t="s">
        <v>499</v>
      </c>
      <c r="G113" s="8" t="s">
        <v>50</v>
      </c>
      <c r="H113" s="10"/>
      <c r="I113" s="10"/>
    </row>
    <row r="114">
      <c r="A114" s="5" t="s">
        <v>685</v>
      </c>
      <c r="B114" s="5" t="s">
        <v>686</v>
      </c>
      <c r="C114" s="6" t="s">
        <v>687</v>
      </c>
      <c r="D114" s="5" t="s">
        <v>688</v>
      </c>
      <c r="E114" s="5">
        <v>2021.0</v>
      </c>
      <c r="F114" s="7" t="s">
        <v>663</v>
      </c>
      <c r="G114" s="8" t="s">
        <v>50</v>
      </c>
      <c r="H114" s="5" t="s">
        <v>689</v>
      </c>
      <c r="I114" s="5" t="s">
        <v>690</v>
      </c>
    </row>
    <row r="115">
      <c r="A115" s="5" t="s">
        <v>46</v>
      </c>
      <c r="B115" s="5" t="s">
        <v>691</v>
      </c>
      <c r="C115" s="6" t="s">
        <v>692</v>
      </c>
      <c r="D115" s="5" t="s">
        <v>693</v>
      </c>
      <c r="E115" s="5">
        <v>2021.0</v>
      </c>
      <c r="F115" s="7" t="s">
        <v>663</v>
      </c>
      <c r="G115" s="8" t="s">
        <v>694</v>
      </c>
      <c r="H115" s="5" t="s">
        <v>695</v>
      </c>
      <c r="I115" s="5" t="s">
        <v>696</v>
      </c>
    </row>
    <row r="116">
      <c r="A116" s="5" t="s">
        <v>697</v>
      </c>
      <c r="B116" s="5" t="s">
        <v>698</v>
      </c>
      <c r="C116" s="9" t="s">
        <v>699</v>
      </c>
      <c r="D116" s="13" t="s">
        <v>700</v>
      </c>
      <c r="E116" s="5">
        <v>2021.0</v>
      </c>
      <c r="F116" s="5" t="s">
        <v>353</v>
      </c>
      <c r="G116" s="8" t="s">
        <v>701</v>
      </c>
      <c r="H116" s="5" t="s">
        <v>533</v>
      </c>
      <c r="I116" s="5" t="s">
        <v>702</v>
      </c>
    </row>
    <row r="117">
      <c r="A117" s="5" t="s">
        <v>703</v>
      </c>
      <c r="B117" s="5" t="s">
        <v>704</v>
      </c>
      <c r="C117" s="9" t="s">
        <v>705</v>
      </c>
      <c r="D117" s="13" t="s">
        <v>706</v>
      </c>
      <c r="E117" s="5">
        <v>2021.0</v>
      </c>
      <c r="F117" s="5" t="s">
        <v>663</v>
      </c>
      <c r="G117" s="8" t="s">
        <v>707</v>
      </c>
      <c r="H117" s="5" t="s">
        <v>708</v>
      </c>
      <c r="I117" s="5" t="s">
        <v>709</v>
      </c>
    </row>
    <row r="118">
      <c r="A118" s="5" t="s">
        <v>453</v>
      </c>
      <c r="B118" s="5" t="s">
        <v>710</v>
      </c>
      <c r="C118" s="6" t="s">
        <v>711</v>
      </c>
      <c r="D118" s="5" t="s">
        <v>712</v>
      </c>
      <c r="E118" s="5">
        <v>2021.0</v>
      </c>
      <c r="F118" s="12" t="s">
        <v>353</v>
      </c>
      <c r="G118" s="8" t="s">
        <v>166</v>
      </c>
      <c r="H118" s="5" t="s">
        <v>713</v>
      </c>
      <c r="I118" s="5" t="s">
        <v>714</v>
      </c>
    </row>
    <row r="119">
      <c r="A119" s="5" t="s">
        <v>715</v>
      </c>
      <c r="B119" s="5" t="s">
        <v>423</v>
      </c>
      <c r="C119" s="9" t="s">
        <v>716</v>
      </c>
      <c r="D119" s="22" t="s">
        <v>717</v>
      </c>
      <c r="E119" s="5">
        <v>2021.0</v>
      </c>
      <c r="F119" s="12" t="s">
        <v>663</v>
      </c>
      <c r="G119" s="8" t="s">
        <v>166</v>
      </c>
      <c r="H119" s="5" t="s">
        <v>718</v>
      </c>
      <c r="I119" s="5" t="s">
        <v>719</v>
      </c>
    </row>
    <row r="120">
      <c r="A120" s="5" t="s">
        <v>720</v>
      </c>
      <c r="B120" s="5" t="s">
        <v>721</v>
      </c>
      <c r="C120" s="9" t="s">
        <v>722</v>
      </c>
      <c r="D120" s="13" t="s">
        <v>723</v>
      </c>
      <c r="E120" s="5">
        <v>2021.0</v>
      </c>
      <c r="F120" s="12" t="s">
        <v>724</v>
      </c>
      <c r="G120" s="8" t="s">
        <v>166</v>
      </c>
      <c r="H120" s="5" t="s">
        <v>725</v>
      </c>
      <c r="I120" s="5" t="s">
        <v>726</v>
      </c>
    </row>
    <row r="121">
      <c r="A121" s="5" t="s">
        <v>727</v>
      </c>
      <c r="B121" s="5" t="s">
        <v>728</v>
      </c>
      <c r="C121" s="9" t="s">
        <v>729</v>
      </c>
      <c r="D121" s="13" t="s">
        <v>730</v>
      </c>
      <c r="E121" s="5">
        <v>2021.0</v>
      </c>
      <c r="F121" s="5" t="s">
        <v>663</v>
      </c>
      <c r="G121" s="8" t="s">
        <v>731</v>
      </c>
      <c r="H121" s="5" t="s">
        <v>732</v>
      </c>
      <c r="I121" s="5" t="s">
        <v>733</v>
      </c>
    </row>
    <row r="122">
      <c r="A122" s="5" t="s">
        <v>734</v>
      </c>
      <c r="B122" s="5" t="s">
        <v>735</v>
      </c>
      <c r="C122" s="6" t="s">
        <v>736</v>
      </c>
      <c r="D122" s="5" t="s">
        <v>737</v>
      </c>
      <c r="E122" s="5">
        <v>2021.0</v>
      </c>
      <c r="F122" s="11" t="s">
        <v>353</v>
      </c>
      <c r="G122" s="8" t="s">
        <v>322</v>
      </c>
      <c r="H122" s="5" t="s">
        <v>738</v>
      </c>
      <c r="I122" s="5" t="s">
        <v>739</v>
      </c>
    </row>
    <row r="123">
      <c r="A123" s="5" t="s">
        <v>740</v>
      </c>
      <c r="B123" s="5" t="s">
        <v>741</v>
      </c>
      <c r="C123" s="6" t="s">
        <v>742</v>
      </c>
      <c r="D123" s="13" t="s">
        <v>743</v>
      </c>
      <c r="E123" s="5">
        <v>2021.0</v>
      </c>
      <c r="F123" s="12" t="s">
        <v>724</v>
      </c>
      <c r="G123" s="8" t="s">
        <v>744</v>
      </c>
      <c r="H123" s="5" t="s">
        <v>745</v>
      </c>
      <c r="I123" s="5" t="s">
        <v>746</v>
      </c>
    </row>
    <row r="124">
      <c r="A124" s="5" t="s">
        <v>747</v>
      </c>
      <c r="B124" s="5" t="s">
        <v>748</v>
      </c>
      <c r="C124" s="6" t="s">
        <v>749</v>
      </c>
      <c r="D124" s="5" t="s">
        <v>750</v>
      </c>
      <c r="E124" s="5">
        <v>2021.0</v>
      </c>
      <c r="F124" s="7" t="s">
        <v>663</v>
      </c>
      <c r="G124" s="8" t="s">
        <v>329</v>
      </c>
      <c r="H124" s="5" t="s">
        <v>751</v>
      </c>
      <c r="I124" s="5" t="s">
        <v>752</v>
      </c>
    </row>
    <row r="125">
      <c r="A125" s="5" t="s">
        <v>753</v>
      </c>
      <c r="B125" s="5" t="s">
        <v>754</v>
      </c>
      <c r="C125" s="9" t="s">
        <v>755</v>
      </c>
      <c r="D125" s="5" t="s">
        <v>756</v>
      </c>
      <c r="E125" s="5">
        <v>2021.0</v>
      </c>
      <c r="F125" s="12" t="s">
        <v>499</v>
      </c>
      <c r="G125" s="8" t="s">
        <v>757</v>
      </c>
      <c r="H125" s="5" t="s">
        <v>758</v>
      </c>
      <c r="I125" s="5" t="s">
        <v>759</v>
      </c>
    </row>
    <row r="126">
      <c r="A126" s="5" t="s">
        <v>760</v>
      </c>
      <c r="B126" s="5" t="s">
        <v>761</v>
      </c>
      <c r="C126" s="6" t="s">
        <v>762</v>
      </c>
      <c r="D126" s="5" t="s">
        <v>763</v>
      </c>
      <c r="E126" s="5">
        <v>2022.0</v>
      </c>
      <c r="F126" s="7" t="s">
        <v>764</v>
      </c>
      <c r="G126" s="8" t="s">
        <v>219</v>
      </c>
      <c r="H126" s="5" t="s">
        <v>765</v>
      </c>
      <c r="I126" s="5" t="s">
        <v>766</v>
      </c>
    </row>
    <row r="127">
      <c r="A127" s="5" t="s">
        <v>767</v>
      </c>
      <c r="B127" s="5" t="s">
        <v>768</v>
      </c>
      <c r="C127" s="6" t="s">
        <v>769</v>
      </c>
      <c r="D127" s="5" t="s">
        <v>770</v>
      </c>
      <c r="E127" s="5">
        <v>2022.0</v>
      </c>
      <c r="F127" s="23" t="s">
        <v>771</v>
      </c>
      <c r="G127" s="8" t="s">
        <v>21</v>
      </c>
      <c r="H127" s="5" t="s">
        <v>772</v>
      </c>
      <c r="I127" s="5" t="s">
        <v>773</v>
      </c>
    </row>
    <row r="128">
      <c r="A128" s="5" t="s">
        <v>774</v>
      </c>
      <c r="B128" s="5" t="s">
        <v>775</v>
      </c>
      <c r="C128" s="6" t="s">
        <v>776</v>
      </c>
      <c r="D128" s="5" t="s">
        <v>777</v>
      </c>
      <c r="E128" s="5">
        <v>2022.0</v>
      </c>
      <c r="F128" s="7" t="s">
        <v>724</v>
      </c>
      <c r="G128" s="8" t="s">
        <v>50</v>
      </c>
      <c r="H128" s="5" t="s">
        <v>234</v>
      </c>
      <c r="I128" s="5" t="s">
        <v>778</v>
      </c>
    </row>
    <row r="129">
      <c r="A129" s="5" t="s">
        <v>715</v>
      </c>
      <c r="B129" s="5" t="s">
        <v>779</v>
      </c>
      <c r="C129" s="6" t="s">
        <v>780</v>
      </c>
      <c r="D129" s="5" t="s">
        <v>781</v>
      </c>
      <c r="E129" s="5">
        <v>2022.0</v>
      </c>
      <c r="F129" s="12" t="s">
        <v>663</v>
      </c>
      <c r="G129" s="8" t="s">
        <v>21</v>
      </c>
      <c r="H129" s="5" t="s">
        <v>782</v>
      </c>
      <c r="I129" s="5" t="s">
        <v>783</v>
      </c>
    </row>
    <row r="130">
      <c r="A130" s="5" t="s">
        <v>784</v>
      </c>
      <c r="B130" s="5" t="s">
        <v>785</v>
      </c>
      <c r="C130" s="6" t="s">
        <v>786</v>
      </c>
      <c r="D130" s="5" t="s">
        <v>787</v>
      </c>
      <c r="E130" s="5">
        <v>2022.0</v>
      </c>
      <c r="F130" s="7" t="s">
        <v>764</v>
      </c>
      <c r="G130" s="8" t="s">
        <v>21</v>
      </c>
      <c r="H130" s="5" t="s">
        <v>788</v>
      </c>
      <c r="I130" s="5" t="s">
        <v>789</v>
      </c>
    </row>
    <row r="131">
      <c r="A131" s="5" t="s">
        <v>790</v>
      </c>
      <c r="B131" s="5" t="s">
        <v>791</v>
      </c>
      <c r="C131" s="6" t="s">
        <v>792</v>
      </c>
      <c r="D131" s="5" t="s">
        <v>793</v>
      </c>
      <c r="E131" s="5">
        <v>2022.0</v>
      </c>
      <c r="F131" s="7" t="s">
        <v>764</v>
      </c>
      <c r="G131" s="8" t="s">
        <v>21</v>
      </c>
      <c r="H131" s="5" t="s">
        <v>794</v>
      </c>
      <c r="I131" s="5" t="s">
        <v>795</v>
      </c>
    </row>
    <row r="132">
      <c r="A132" s="5" t="s">
        <v>796</v>
      </c>
      <c r="B132" s="5" t="s">
        <v>797</v>
      </c>
      <c r="C132" s="6" t="s">
        <v>798</v>
      </c>
      <c r="D132" s="5" t="s">
        <v>799</v>
      </c>
      <c r="E132" s="5">
        <v>2022.0</v>
      </c>
      <c r="F132" s="7" t="s">
        <v>800</v>
      </c>
      <c r="G132" s="8" t="s">
        <v>21</v>
      </c>
      <c r="H132" s="5" t="s">
        <v>801</v>
      </c>
      <c r="I132" s="5" t="s">
        <v>802</v>
      </c>
    </row>
    <row r="133">
      <c r="A133" s="5" t="s">
        <v>803</v>
      </c>
      <c r="B133" s="5" t="s">
        <v>804</v>
      </c>
      <c r="C133" s="6" t="s">
        <v>805</v>
      </c>
      <c r="D133" s="5" t="s">
        <v>806</v>
      </c>
      <c r="E133" s="5">
        <v>2022.0</v>
      </c>
      <c r="F133" s="11" t="s">
        <v>663</v>
      </c>
      <c r="G133" s="8" t="s">
        <v>43</v>
      </c>
      <c r="H133" s="5" t="s">
        <v>807</v>
      </c>
      <c r="I133" s="5" t="s">
        <v>808</v>
      </c>
    </row>
    <row r="134">
      <c r="A134" s="5" t="s">
        <v>790</v>
      </c>
      <c r="B134" s="5" t="s">
        <v>809</v>
      </c>
      <c r="C134" s="6" t="s">
        <v>810</v>
      </c>
      <c r="D134" s="5" t="s">
        <v>811</v>
      </c>
      <c r="E134" s="5">
        <v>2022.0</v>
      </c>
      <c r="F134" s="12" t="s">
        <v>724</v>
      </c>
      <c r="G134" s="8" t="s">
        <v>43</v>
      </c>
      <c r="H134" s="5" t="s">
        <v>812</v>
      </c>
      <c r="I134" s="5" t="s">
        <v>813</v>
      </c>
    </row>
    <row r="135">
      <c r="A135" s="5" t="s">
        <v>814</v>
      </c>
      <c r="B135" s="5" t="s">
        <v>815</v>
      </c>
      <c r="C135" s="6" t="s">
        <v>816</v>
      </c>
      <c r="D135" s="5" t="s">
        <v>817</v>
      </c>
      <c r="E135" s="5">
        <v>2022.0</v>
      </c>
      <c r="F135" s="11" t="s">
        <v>764</v>
      </c>
      <c r="G135" s="8" t="s">
        <v>43</v>
      </c>
      <c r="H135" s="5" t="s">
        <v>818</v>
      </c>
      <c r="I135" s="5" t="s">
        <v>819</v>
      </c>
    </row>
    <row r="136">
      <c r="A136" s="5" t="s">
        <v>820</v>
      </c>
      <c r="B136" s="5" t="s">
        <v>821</v>
      </c>
      <c r="C136" s="6" t="s">
        <v>822</v>
      </c>
      <c r="D136" s="5" t="s">
        <v>823</v>
      </c>
      <c r="E136" s="5">
        <v>2022.0</v>
      </c>
      <c r="F136" s="11" t="s">
        <v>764</v>
      </c>
      <c r="G136" s="8" t="s">
        <v>50</v>
      </c>
      <c r="H136" s="5" t="s">
        <v>824</v>
      </c>
      <c r="I136" s="5" t="s">
        <v>825</v>
      </c>
    </row>
    <row r="137">
      <c r="A137" s="5" t="s">
        <v>215</v>
      </c>
      <c r="B137" s="5" t="s">
        <v>826</v>
      </c>
      <c r="C137" s="6" t="s">
        <v>827</v>
      </c>
      <c r="D137" s="5" t="s">
        <v>828</v>
      </c>
      <c r="E137" s="5">
        <v>2022.0</v>
      </c>
      <c r="F137" s="7" t="s">
        <v>724</v>
      </c>
      <c r="G137" s="8" t="s">
        <v>50</v>
      </c>
      <c r="H137" s="5" t="s">
        <v>695</v>
      </c>
      <c r="I137" s="5" t="s">
        <v>829</v>
      </c>
    </row>
    <row r="138">
      <c r="A138" s="24" t="s">
        <v>830</v>
      </c>
      <c r="B138" s="24" t="s">
        <v>831</v>
      </c>
      <c r="C138" s="6" t="s">
        <v>832</v>
      </c>
      <c r="D138" s="25" t="s">
        <v>833</v>
      </c>
      <c r="E138" s="24">
        <v>2022.0</v>
      </c>
      <c r="F138" s="12" t="s">
        <v>771</v>
      </c>
      <c r="G138" s="26" t="s">
        <v>50</v>
      </c>
      <c r="H138" s="24" t="s">
        <v>834</v>
      </c>
      <c r="I138" s="24" t="s">
        <v>835</v>
      </c>
    </row>
    <row r="139">
      <c r="A139" s="5" t="s">
        <v>404</v>
      </c>
      <c r="B139" s="5" t="s">
        <v>836</v>
      </c>
      <c r="C139" s="6" t="s">
        <v>837</v>
      </c>
      <c r="D139" s="5" t="s">
        <v>838</v>
      </c>
      <c r="E139" s="5">
        <v>2022.0</v>
      </c>
      <c r="F139" s="7" t="s">
        <v>800</v>
      </c>
      <c r="G139" s="8" t="s">
        <v>50</v>
      </c>
      <c r="H139" s="5" t="s">
        <v>839</v>
      </c>
      <c r="I139" s="5" t="s">
        <v>840</v>
      </c>
    </row>
    <row r="140">
      <c r="A140" s="5" t="s">
        <v>577</v>
      </c>
      <c r="B140" s="5" t="s">
        <v>841</v>
      </c>
      <c r="C140" s="6" t="s">
        <v>842</v>
      </c>
      <c r="D140" s="5" t="s">
        <v>843</v>
      </c>
      <c r="E140" s="5">
        <v>2022.0</v>
      </c>
      <c r="F140" s="7" t="s">
        <v>663</v>
      </c>
      <c r="G140" s="8" t="s">
        <v>50</v>
      </c>
      <c r="H140" s="5" t="s">
        <v>844</v>
      </c>
      <c r="I140" s="5" t="s">
        <v>845</v>
      </c>
    </row>
    <row r="141">
      <c r="A141" s="5" t="s">
        <v>804</v>
      </c>
      <c r="B141" s="5" t="s">
        <v>846</v>
      </c>
      <c r="C141" s="6" t="s">
        <v>847</v>
      </c>
      <c r="D141" s="5" t="s">
        <v>848</v>
      </c>
      <c r="E141" s="5">
        <v>2022.0</v>
      </c>
      <c r="F141" s="7" t="s">
        <v>663</v>
      </c>
      <c r="G141" s="8" t="s">
        <v>50</v>
      </c>
      <c r="H141" s="5" t="s">
        <v>849</v>
      </c>
      <c r="I141" s="5" t="s">
        <v>850</v>
      </c>
    </row>
    <row r="142">
      <c r="A142" s="5" t="s">
        <v>851</v>
      </c>
      <c r="B142" s="5" t="s">
        <v>120</v>
      </c>
      <c r="C142" s="6" t="s">
        <v>852</v>
      </c>
      <c r="D142" s="5" t="s">
        <v>853</v>
      </c>
      <c r="E142" s="5">
        <v>2022.0</v>
      </c>
      <c r="F142" s="7" t="s">
        <v>724</v>
      </c>
      <c r="G142" s="8" t="s">
        <v>50</v>
      </c>
      <c r="H142" s="5" t="s">
        <v>854</v>
      </c>
      <c r="I142" s="5" t="s">
        <v>855</v>
      </c>
    </row>
    <row r="143">
      <c r="A143" s="5" t="s">
        <v>856</v>
      </c>
      <c r="B143" s="5" t="s">
        <v>857</v>
      </c>
      <c r="C143" s="6" t="s">
        <v>858</v>
      </c>
      <c r="D143" s="5" t="s">
        <v>859</v>
      </c>
      <c r="E143" s="5">
        <v>2022.0</v>
      </c>
      <c r="F143" s="12" t="s">
        <v>764</v>
      </c>
      <c r="G143" s="8" t="s">
        <v>50</v>
      </c>
      <c r="H143" s="5" t="s">
        <v>123</v>
      </c>
      <c r="I143" s="5" t="s">
        <v>860</v>
      </c>
    </row>
    <row r="144">
      <c r="A144" s="5" t="s">
        <v>861</v>
      </c>
      <c r="B144" s="5" t="s">
        <v>862</v>
      </c>
      <c r="C144" s="6" t="s">
        <v>863</v>
      </c>
      <c r="D144" s="5" t="s">
        <v>864</v>
      </c>
      <c r="E144" s="5">
        <v>2022.0</v>
      </c>
      <c r="F144" s="27" t="s">
        <v>724</v>
      </c>
      <c r="G144" s="8" t="s">
        <v>50</v>
      </c>
      <c r="H144" s="5" t="s">
        <v>865</v>
      </c>
      <c r="I144" s="5" t="s">
        <v>866</v>
      </c>
    </row>
    <row r="145">
      <c r="A145" s="5" t="s">
        <v>867</v>
      </c>
      <c r="B145" s="5" t="s">
        <v>868</v>
      </c>
      <c r="C145" s="6" t="s">
        <v>869</v>
      </c>
      <c r="D145" s="5" t="s">
        <v>870</v>
      </c>
      <c r="E145" s="5">
        <v>2022.0</v>
      </c>
      <c r="F145" s="7" t="s">
        <v>724</v>
      </c>
      <c r="G145" s="8" t="s">
        <v>58</v>
      </c>
      <c r="H145" s="5" t="s">
        <v>871</v>
      </c>
      <c r="I145" s="5" t="s">
        <v>872</v>
      </c>
    </row>
    <row r="146">
      <c r="A146" s="5" t="s">
        <v>183</v>
      </c>
      <c r="B146" s="5" t="s">
        <v>873</v>
      </c>
      <c r="C146" s="6" t="s">
        <v>874</v>
      </c>
      <c r="D146" s="5" t="s">
        <v>875</v>
      </c>
      <c r="E146" s="5">
        <v>2022.0</v>
      </c>
      <c r="F146" s="7" t="s">
        <v>724</v>
      </c>
      <c r="G146" s="8" t="s">
        <v>134</v>
      </c>
      <c r="H146" s="5" t="s">
        <v>876</v>
      </c>
      <c r="I146" s="5" t="s">
        <v>877</v>
      </c>
    </row>
    <row r="147">
      <c r="A147" s="5" t="s">
        <v>878</v>
      </c>
      <c r="B147" s="5" t="s">
        <v>879</v>
      </c>
      <c r="C147" s="6" t="s">
        <v>880</v>
      </c>
      <c r="D147" s="5" t="s">
        <v>881</v>
      </c>
      <c r="E147" s="5">
        <v>2022.0</v>
      </c>
      <c r="F147" s="7" t="s">
        <v>663</v>
      </c>
      <c r="G147" s="8" t="s">
        <v>426</v>
      </c>
      <c r="H147" s="5" t="s">
        <v>882</v>
      </c>
      <c r="I147" s="5" t="s">
        <v>883</v>
      </c>
    </row>
    <row r="148">
      <c r="A148" s="5" t="s">
        <v>884</v>
      </c>
      <c r="B148" s="5" t="s">
        <v>885</v>
      </c>
      <c r="C148" s="9" t="s">
        <v>886</v>
      </c>
      <c r="D148" s="5" t="s">
        <v>887</v>
      </c>
      <c r="E148" s="5">
        <v>2022.0</v>
      </c>
      <c r="F148" s="5" t="s">
        <v>764</v>
      </c>
      <c r="G148" s="8" t="s">
        <v>610</v>
      </c>
      <c r="H148" s="5" t="s">
        <v>888</v>
      </c>
      <c r="I148" s="5" t="s">
        <v>889</v>
      </c>
    </row>
    <row r="149">
      <c r="A149" s="5" t="s">
        <v>890</v>
      </c>
      <c r="B149" s="5" t="s">
        <v>891</v>
      </c>
      <c r="C149" s="6" t="s">
        <v>892</v>
      </c>
      <c r="D149" s="5" t="s">
        <v>893</v>
      </c>
      <c r="E149" s="5">
        <v>2022.0</v>
      </c>
      <c r="F149" s="11" t="s">
        <v>724</v>
      </c>
      <c r="G149" s="8" t="s">
        <v>701</v>
      </c>
      <c r="H149" s="5" t="s">
        <v>894</v>
      </c>
      <c r="I149" s="5" t="s">
        <v>895</v>
      </c>
    </row>
    <row r="150">
      <c r="A150" s="5" t="s">
        <v>896</v>
      </c>
      <c r="B150" s="5" t="s">
        <v>897</v>
      </c>
      <c r="C150" s="6" t="s">
        <v>898</v>
      </c>
      <c r="D150" s="5" t="s">
        <v>899</v>
      </c>
      <c r="E150" s="5">
        <v>2022.0</v>
      </c>
      <c r="F150" s="7" t="s">
        <v>663</v>
      </c>
      <c r="G150" s="8" t="s">
        <v>219</v>
      </c>
      <c r="H150" s="5" t="s">
        <v>900</v>
      </c>
      <c r="I150" s="5" t="s">
        <v>901</v>
      </c>
    </row>
    <row r="151">
      <c r="A151" s="5" t="s">
        <v>243</v>
      </c>
      <c r="B151" s="5" t="s">
        <v>902</v>
      </c>
      <c r="C151" s="6" t="s">
        <v>903</v>
      </c>
      <c r="D151" s="5" t="s">
        <v>904</v>
      </c>
      <c r="E151" s="5">
        <v>2022.0</v>
      </c>
      <c r="F151" s="7" t="s">
        <v>663</v>
      </c>
      <c r="G151" s="8" t="s">
        <v>154</v>
      </c>
      <c r="H151" s="5" t="s">
        <v>905</v>
      </c>
      <c r="I151" s="5" t="s">
        <v>906</v>
      </c>
    </row>
    <row r="152">
      <c r="A152" s="5" t="s">
        <v>907</v>
      </c>
      <c r="B152" s="5" t="s">
        <v>212</v>
      </c>
      <c r="C152" s="6" t="s">
        <v>908</v>
      </c>
      <c r="D152" s="5" t="s">
        <v>909</v>
      </c>
      <c r="E152" s="5">
        <v>2022.0</v>
      </c>
      <c r="F152" s="7" t="s">
        <v>663</v>
      </c>
      <c r="G152" s="8" t="s">
        <v>154</v>
      </c>
      <c r="H152" s="5" t="s">
        <v>910</v>
      </c>
      <c r="I152" s="5" t="s">
        <v>911</v>
      </c>
    </row>
    <row r="153">
      <c r="A153" s="5" t="s">
        <v>912</v>
      </c>
      <c r="B153" s="5" t="s">
        <v>913</v>
      </c>
      <c r="C153" s="6" t="s">
        <v>914</v>
      </c>
      <c r="D153" s="5" t="s">
        <v>915</v>
      </c>
      <c r="E153" s="5">
        <v>2022.0</v>
      </c>
      <c r="F153" s="5" t="s">
        <v>724</v>
      </c>
      <c r="G153" s="8" t="s">
        <v>166</v>
      </c>
      <c r="H153" s="5" t="s">
        <v>916</v>
      </c>
      <c r="I153" s="5" t="s">
        <v>917</v>
      </c>
    </row>
    <row r="154">
      <c r="A154" s="5" t="s">
        <v>918</v>
      </c>
      <c r="B154" s="5" t="s">
        <v>919</v>
      </c>
      <c r="C154" s="6" t="s">
        <v>920</v>
      </c>
      <c r="D154" s="5" t="s">
        <v>921</v>
      </c>
      <c r="E154" s="5">
        <v>2022.0</v>
      </c>
      <c r="F154" s="7" t="s">
        <v>724</v>
      </c>
      <c r="G154" s="8" t="s">
        <v>922</v>
      </c>
      <c r="H154" s="5" t="s">
        <v>923</v>
      </c>
      <c r="I154" s="5" t="s">
        <v>643</v>
      </c>
    </row>
    <row r="155">
      <c r="A155" s="5" t="s">
        <v>924</v>
      </c>
      <c r="B155" s="5" t="s">
        <v>925</v>
      </c>
      <c r="C155" s="9" t="s">
        <v>926</v>
      </c>
      <c r="D155" s="5" t="s">
        <v>927</v>
      </c>
      <c r="E155" s="5">
        <v>2022.0</v>
      </c>
      <c r="F155" s="7" t="s">
        <v>663</v>
      </c>
      <c r="G155" s="8" t="s">
        <v>922</v>
      </c>
      <c r="H155" s="5" t="s">
        <v>928</v>
      </c>
      <c r="I155" s="5" t="s">
        <v>929</v>
      </c>
    </row>
    <row r="156">
      <c r="A156" s="28" t="s">
        <v>930</v>
      </c>
      <c r="B156" s="28" t="s">
        <v>212</v>
      </c>
      <c r="C156" s="6" t="s">
        <v>931</v>
      </c>
      <c r="D156" s="25" t="s">
        <v>932</v>
      </c>
      <c r="E156" s="24">
        <v>2022.0</v>
      </c>
      <c r="F156" s="12" t="s">
        <v>764</v>
      </c>
      <c r="G156" s="26" t="s">
        <v>322</v>
      </c>
      <c r="H156" s="24" t="s">
        <v>933</v>
      </c>
      <c r="I156" s="24" t="s">
        <v>934</v>
      </c>
    </row>
    <row r="157">
      <c r="A157" s="5" t="s">
        <v>405</v>
      </c>
      <c r="B157" s="5" t="s">
        <v>333</v>
      </c>
      <c r="C157" s="6" t="s">
        <v>935</v>
      </c>
      <c r="D157" s="5" t="s">
        <v>936</v>
      </c>
      <c r="E157" s="5">
        <v>2022.0</v>
      </c>
      <c r="F157" s="7" t="s">
        <v>764</v>
      </c>
      <c r="G157" s="8" t="s">
        <v>937</v>
      </c>
      <c r="H157" s="5" t="s">
        <v>938</v>
      </c>
      <c r="I157" s="5" t="s">
        <v>939</v>
      </c>
    </row>
    <row r="158">
      <c r="A158" s="5" t="s">
        <v>940</v>
      </c>
      <c r="B158" s="5" t="s">
        <v>941</v>
      </c>
      <c r="C158" s="6" t="s">
        <v>942</v>
      </c>
      <c r="D158" s="5" t="s">
        <v>943</v>
      </c>
      <c r="E158" s="5">
        <v>2022.0</v>
      </c>
      <c r="F158" s="7" t="s">
        <v>724</v>
      </c>
      <c r="G158" s="8" t="s">
        <v>944</v>
      </c>
      <c r="H158" s="5" t="s">
        <v>945</v>
      </c>
      <c r="I158" s="5" t="s">
        <v>946</v>
      </c>
    </row>
    <row r="159">
      <c r="A159" s="5" t="s">
        <v>561</v>
      </c>
      <c r="B159" s="5" t="s">
        <v>947</v>
      </c>
      <c r="C159" s="6" t="s">
        <v>948</v>
      </c>
      <c r="D159" s="5" t="s">
        <v>949</v>
      </c>
      <c r="E159" s="5">
        <v>2022.0</v>
      </c>
      <c r="F159" s="5" t="s">
        <v>800</v>
      </c>
      <c r="G159" s="8" t="s">
        <v>950</v>
      </c>
      <c r="H159" s="5" t="s">
        <v>951</v>
      </c>
      <c r="I159" s="5" t="s">
        <v>952</v>
      </c>
    </row>
    <row r="160">
      <c r="A160" s="24" t="s">
        <v>953</v>
      </c>
      <c r="B160" s="24" t="s">
        <v>954</v>
      </c>
      <c r="C160" s="6" t="s">
        <v>955</v>
      </c>
      <c r="D160" s="25" t="s">
        <v>956</v>
      </c>
      <c r="E160" s="24">
        <v>2023.0</v>
      </c>
      <c r="F160" s="5" t="s">
        <v>957</v>
      </c>
      <c r="G160" s="26" t="s">
        <v>92</v>
      </c>
      <c r="H160" s="24" t="s">
        <v>958</v>
      </c>
      <c r="I160" s="24" t="s">
        <v>959</v>
      </c>
    </row>
    <row r="161">
      <c r="A161" s="24" t="s">
        <v>130</v>
      </c>
      <c r="B161" s="24" t="s">
        <v>960</v>
      </c>
      <c r="C161" s="6" t="s">
        <v>961</v>
      </c>
      <c r="D161" s="25" t="s">
        <v>962</v>
      </c>
      <c r="E161" s="24">
        <v>2023.0</v>
      </c>
      <c r="F161" s="24" t="s">
        <v>957</v>
      </c>
      <c r="G161" s="26" t="s">
        <v>360</v>
      </c>
      <c r="H161" s="24" t="s">
        <v>963</v>
      </c>
      <c r="I161" s="24" t="s">
        <v>964</v>
      </c>
    </row>
    <row r="162">
      <c r="A162" s="24" t="s">
        <v>415</v>
      </c>
      <c r="B162" s="24" t="s">
        <v>965</v>
      </c>
      <c r="C162" s="6" t="s">
        <v>966</v>
      </c>
      <c r="D162" s="25" t="s">
        <v>967</v>
      </c>
      <c r="E162" s="24">
        <v>2023.0</v>
      </c>
      <c r="F162" s="5" t="s">
        <v>764</v>
      </c>
      <c r="G162" s="26" t="s">
        <v>21</v>
      </c>
      <c r="H162" s="24" t="s">
        <v>968</v>
      </c>
      <c r="I162" s="24" t="s">
        <v>746</v>
      </c>
    </row>
    <row r="163">
      <c r="A163" s="24" t="s">
        <v>565</v>
      </c>
      <c r="B163" s="24" t="s">
        <v>969</v>
      </c>
      <c r="C163" s="9" t="s">
        <v>970</v>
      </c>
      <c r="D163" s="25" t="s">
        <v>971</v>
      </c>
      <c r="E163" s="24">
        <v>2023.0</v>
      </c>
      <c r="F163" s="5" t="s">
        <v>764</v>
      </c>
      <c r="G163" s="26" t="s">
        <v>21</v>
      </c>
      <c r="H163" s="24" t="s">
        <v>972</v>
      </c>
      <c r="I163" s="24" t="s">
        <v>973</v>
      </c>
    </row>
    <row r="164">
      <c r="A164" s="24" t="s">
        <v>974</v>
      </c>
      <c r="B164" s="24" t="s">
        <v>975</v>
      </c>
      <c r="C164" s="9" t="s">
        <v>976</v>
      </c>
      <c r="D164" s="25" t="s">
        <v>977</v>
      </c>
      <c r="E164" s="24">
        <v>2023.0</v>
      </c>
      <c r="F164" s="5" t="s">
        <v>800</v>
      </c>
      <c r="G164" s="26" t="s">
        <v>21</v>
      </c>
      <c r="H164" s="24" t="s">
        <v>978</v>
      </c>
      <c r="I164" s="24" t="s">
        <v>979</v>
      </c>
    </row>
    <row r="165">
      <c r="A165" s="24" t="s">
        <v>980</v>
      </c>
      <c r="B165" s="24" t="s">
        <v>981</v>
      </c>
      <c r="C165" s="6" t="s">
        <v>982</v>
      </c>
      <c r="D165" s="25" t="s">
        <v>983</v>
      </c>
      <c r="E165" s="24">
        <v>2023.0</v>
      </c>
      <c r="F165" s="5" t="s">
        <v>764</v>
      </c>
      <c r="G165" s="26" t="s">
        <v>21</v>
      </c>
      <c r="H165" s="24" t="s">
        <v>234</v>
      </c>
      <c r="I165" s="24" t="s">
        <v>984</v>
      </c>
    </row>
    <row r="166">
      <c r="A166" s="24" t="s">
        <v>215</v>
      </c>
      <c r="B166" s="24" t="s">
        <v>985</v>
      </c>
      <c r="C166" s="9" t="s">
        <v>986</v>
      </c>
      <c r="D166" s="25" t="s">
        <v>987</v>
      </c>
      <c r="E166" s="24">
        <v>2023.0</v>
      </c>
      <c r="F166" s="5" t="s">
        <v>764</v>
      </c>
      <c r="G166" s="26" t="s">
        <v>21</v>
      </c>
      <c r="H166" s="24" t="s">
        <v>988</v>
      </c>
      <c r="I166" s="24" t="s">
        <v>989</v>
      </c>
    </row>
    <row r="167">
      <c r="A167" s="24" t="s">
        <v>990</v>
      </c>
      <c r="B167" s="24" t="s">
        <v>991</v>
      </c>
      <c r="C167" s="6" t="s">
        <v>992</v>
      </c>
      <c r="D167" s="25" t="s">
        <v>993</v>
      </c>
      <c r="E167" s="24">
        <v>2023.0</v>
      </c>
      <c r="F167" s="5" t="s">
        <v>771</v>
      </c>
      <c r="G167" s="26" t="s">
        <v>21</v>
      </c>
      <c r="H167" s="24" t="s">
        <v>994</v>
      </c>
      <c r="I167" s="24" t="s">
        <v>995</v>
      </c>
    </row>
    <row r="168">
      <c r="A168" s="24" t="s">
        <v>996</v>
      </c>
      <c r="B168" s="24" t="s">
        <v>997</v>
      </c>
      <c r="C168" s="9" t="s">
        <v>998</v>
      </c>
      <c r="D168" s="25" t="s">
        <v>999</v>
      </c>
      <c r="E168" s="24">
        <v>2023.0</v>
      </c>
      <c r="F168" s="5" t="s">
        <v>764</v>
      </c>
      <c r="G168" s="26" t="s">
        <v>21</v>
      </c>
      <c r="H168" s="24" t="s">
        <v>234</v>
      </c>
      <c r="I168" s="24" t="s">
        <v>1000</v>
      </c>
    </row>
    <row r="169">
      <c r="A169" s="24" t="s">
        <v>1001</v>
      </c>
      <c r="B169" s="24" t="s">
        <v>1002</v>
      </c>
      <c r="C169" s="6" t="s">
        <v>1003</v>
      </c>
      <c r="D169" s="25" t="s">
        <v>1004</v>
      </c>
      <c r="E169" s="24">
        <v>2023.0</v>
      </c>
      <c r="F169" s="24" t="s">
        <v>957</v>
      </c>
      <c r="G169" s="26" t="s">
        <v>21</v>
      </c>
      <c r="H169" s="24" t="s">
        <v>234</v>
      </c>
      <c r="I169" s="24" t="s">
        <v>1005</v>
      </c>
    </row>
    <row r="170">
      <c r="A170" s="24" t="s">
        <v>623</v>
      </c>
      <c r="B170" s="24" t="s">
        <v>1006</v>
      </c>
      <c r="C170" s="9" t="s">
        <v>1007</v>
      </c>
      <c r="D170" s="25" t="s">
        <v>1008</v>
      </c>
      <c r="E170" s="24">
        <v>2023.0</v>
      </c>
      <c r="F170" s="23" t="s">
        <v>800</v>
      </c>
      <c r="G170" s="26" t="s">
        <v>21</v>
      </c>
      <c r="H170" s="24" t="s">
        <v>254</v>
      </c>
      <c r="I170" s="24" t="s">
        <v>1009</v>
      </c>
    </row>
    <row r="171">
      <c r="A171" s="24" t="s">
        <v>1010</v>
      </c>
      <c r="B171" s="24" t="s">
        <v>1011</v>
      </c>
      <c r="C171" s="6" t="s">
        <v>1012</v>
      </c>
      <c r="D171" s="25" t="s">
        <v>1013</v>
      </c>
      <c r="E171" s="24">
        <v>2023.0</v>
      </c>
      <c r="F171" s="24" t="s">
        <v>800</v>
      </c>
      <c r="G171" s="26" t="s">
        <v>21</v>
      </c>
      <c r="H171" s="24" t="s">
        <v>123</v>
      </c>
      <c r="I171" s="24" t="s">
        <v>1014</v>
      </c>
    </row>
    <row r="172">
      <c r="A172" s="24" t="s">
        <v>1015</v>
      </c>
      <c r="B172" s="24" t="s">
        <v>1016</v>
      </c>
      <c r="C172" s="9" t="s">
        <v>1017</v>
      </c>
      <c r="D172" s="25" t="s">
        <v>1018</v>
      </c>
      <c r="E172" s="24">
        <v>2023.0</v>
      </c>
      <c r="F172" s="5" t="s">
        <v>800</v>
      </c>
      <c r="G172" s="26" t="s">
        <v>21</v>
      </c>
      <c r="H172" s="24" t="s">
        <v>1019</v>
      </c>
      <c r="I172" s="24" t="s">
        <v>778</v>
      </c>
    </row>
    <row r="173">
      <c r="A173" s="24" t="s">
        <v>1020</v>
      </c>
      <c r="B173" s="24" t="s">
        <v>1021</v>
      </c>
      <c r="C173" s="6" t="s">
        <v>1022</v>
      </c>
      <c r="D173" s="29" t="s">
        <v>1023</v>
      </c>
      <c r="E173" s="24">
        <v>2023.0</v>
      </c>
      <c r="F173" s="5" t="s">
        <v>957</v>
      </c>
      <c r="G173" s="26" t="s">
        <v>43</v>
      </c>
      <c r="H173" s="24" t="s">
        <v>1024</v>
      </c>
      <c r="I173" s="24" t="s">
        <v>1025</v>
      </c>
    </row>
    <row r="174">
      <c r="A174" s="24" t="s">
        <v>405</v>
      </c>
      <c r="B174" s="24" t="s">
        <v>1026</v>
      </c>
      <c r="C174" s="9" t="s">
        <v>1027</v>
      </c>
      <c r="D174" s="25" t="s">
        <v>1028</v>
      </c>
      <c r="E174" s="24">
        <v>2023.0</v>
      </c>
      <c r="F174" s="5" t="s">
        <v>764</v>
      </c>
      <c r="G174" s="26" t="s">
        <v>43</v>
      </c>
      <c r="H174" s="24" t="s">
        <v>1029</v>
      </c>
      <c r="I174" s="24" t="s">
        <v>959</v>
      </c>
    </row>
    <row r="175">
      <c r="A175" s="24" t="s">
        <v>429</v>
      </c>
      <c r="B175" s="24" t="s">
        <v>377</v>
      </c>
      <c r="C175" s="6" t="s">
        <v>1030</v>
      </c>
      <c r="D175" s="25" t="s">
        <v>1031</v>
      </c>
      <c r="E175" s="24">
        <v>2023.0</v>
      </c>
      <c r="F175" s="24" t="s">
        <v>771</v>
      </c>
      <c r="G175" s="26" t="s">
        <v>43</v>
      </c>
      <c r="H175" s="24" t="s">
        <v>916</v>
      </c>
      <c r="I175" s="24" t="s">
        <v>959</v>
      </c>
    </row>
    <row r="176">
      <c r="A176" s="24" t="s">
        <v>623</v>
      </c>
      <c r="B176" s="24" t="s">
        <v>222</v>
      </c>
      <c r="C176" s="6" t="s">
        <v>1032</v>
      </c>
      <c r="D176" s="25" t="s">
        <v>1033</v>
      </c>
      <c r="E176" s="24">
        <v>2023.0</v>
      </c>
      <c r="F176" s="5" t="s">
        <v>800</v>
      </c>
      <c r="G176" s="26" t="s">
        <v>43</v>
      </c>
      <c r="H176" s="24" t="s">
        <v>1034</v>
      </c>
      <c r="I176" s="24" t="s">
        <v>1035</v>
      </c>
    </row>
    <row r="177">
      <c r="A177" s="24" t="s">
        <v>1036</v>
      </c>
      <c r="B177" s="24" t="s">
        <v>295</v>
      </c>
      <c r="C177" s="6" t="s">
        <v>1037</v>
      </c>
      <c r="D177" s="25" t="s">
        <v>1038</v>
      </c>
      <c r="E177" s="24">
        <v>2023.0</v>
      </c>
      <c r="F177" s="5" t="s">
        <v>764</v>
      </c>
      <c r="G177" s="26" t="s">
        <v>50</v>
      </c>
      <c r="H177" s="24" t="s">
        <v>298</v>
      </c>
      <c r="I177" s="24" t="s">
        <v>1039</v>
      </c>
    </row>
    <row r="178">
      <c r="A178" s="24" t="s">
        <v>1040</v>
      </c>
      <c r="B178" s="24" t="s">
        <v>1041</v>
      </c>
      <c r="C178" s="9" t="s">
        <v>1042</v>
      </c>
      <c r="D178" s="25" t="s">
        <v>1043</v>
      </c>
      <c r="E178" s="24">
        <v>2023.0</v>
      </c>
      <c r="F178" s="5" t="s">
        <v>771</v>
      </c>
      <c r="G178" s="26" t="s">
        <v>50</v>
      </c>
      <c r="H178" s="24" t="s">
        <v>1044</v>
      </c>
      <c r="I178" s="24" t="s">
        <v>1045</v>
      </c>
    </row>
    <row r="179">
      <c r="A179" s="24" t="s">
        <v>1046</v>
      </c>
      <c r="B179" s="24" t="s">
        <v>1047</v>
      </c>
      <c r="C179" s="6" t="s">
        <v>1048</v>
      </c>
      <c r="D179" s="25" t="s">
        <v>1049</v>
      </c>
      <c r="E179" s="24">
        <v>2023.0</v>
      </c>
      <c r="F179" s="5" t="s">
        <v>957</v>
      </c>
      <c r="G179" s="26" t="s">
        <v>50</v>
      </c>
      <c r="H179" s="24" t="s">
        <v>234</v>
      </c>
      <c r="I179" s="24" t="s">
        <v>235</v>
      </c>
    </row>
    <row r="180">
      <c r="A180" s="24" t="s">
        <v>1050</v>
      </c>
      <c r="B180" s="24" t="s">
        <v>1051</v>
      </c>
      <c r="C180" s="9" t="s">
        <v>1052</v>
      </c>
      <c r="D180" s="25" t="s">
        <v>1053</v>
      </c>
      <c r="E180" s="24">
        <v>2023.0</v>
      </c>
      <c r="F180" s="5" t="s">
        <v>771</v>
      </c>
      <c r="G180" s="26" t="s">
        <v>50</v>
      </c>
      <c r="H180" s="24" t="s">
        <v>254</v>
      </c>
      <c r="I180" s="24" t="s">
        <v>1054</v>
      </c>
    </row>
    <row r="181">
      <c r="A181" s="24" t="s">
        <v>1055</v>
      </c>
      <c r="B181" s="24" t="s">
        <v>1056</v>
      </c>
      <c r="C181" s="6" t="s">
        <v>1057</v>
      </c>
      <c r="D181" s="25" t="s">
        <v>1058</v>
      </c>
      <c r="E181" s="24">
        <v>2023.0</v>
      </c>
      <c r="F181" s="24" t="s">
        <v>771</v>
      </c>
      <c r="G181" s="26" t="s">
        <v>50</v>
      </c>
      <c r="H181" s="24" t="s">
        <v>1059</v>
      </c>
      <c r="I181" s="24" t="s">
        <v>1060</v>
      </c>
    </row>
    <row r="182">
      <c r="A182" s="24" t="s">
        <v>472</v>
      </c>
      <c r="B182" s="24" t="s">
        <v>1061</v>
      </c>
      <c r="C182" s="6" t="s">
        <v>1062</v>
      </c>
      <c r="D182" s="25" t="s">
        <v>1063</v>
      </c>
      <c r="E182" s="24">
        <v>2023.0</v>
      </c>
      <c r="F182" s="5" t="s">
        <v>957</v>
      </c>
      <c r="G182" s="26" t="s">
        <v>50</v>
      </c>
      <c r="H182" s="24" t="s">
        <v>234</v>
      </c>
      <c r="I182" s="24" t="s">
        <v>235</v>
      </c>
    </row>
    <row r="183">
      <c r="A183" s="24" t="s">
        <v>613</v>
      </c>
      <c r="B183" s="24" t="s">
        <v>1064</v>
      </c>
      <c r="C183" s="9" t="s">
        <v>1065</v>
      </c>
      <c r="D183" s="25" t="s">
        <v>1066</v>
      </c>
      <c r="E183" s="24">
        <v>2023.0</v>
      </c>
      <c r="F183" s="5" t="s">
        <v>764</v>
      </c>
      <c r="G183" s="26" t="s">
        <v>50</v>
      </c>
      <c r="H183" s="24" t="s">
        <v>1067</v>
      </c>
      <c r="I183" s="24" t="s">
        <v>825</v>
      </c>
    </row>
    <row r="184">
      <c r="A184" s="24" t="s">
        <v>1068</v>
      </c>
      <c r="B184" s="24" t="s">
        <v>1069</v>
      </c>
      <c r="C184" s="6" t="s">
        <v>1070</v>
      </c>
      <c r="D184" s="25" t="s">
        <v>1071</v>
      </c>
      <c r="E184" s="24">
        <v>2023.0</v>
      </c>
      <c r="F184" s="5" t="s">
        <v>771</v>
      </c>
      <c r="G184" s="26" t="s">
        <v>50</v>
      </c>
      <c r="H184" s="24" t="s">
        <v>1072</v>
      </c>
      <c r="I184" s="24" t="s">
        <v>1073</v>
      </c>
    </row>
    <row r="185">
      <c r="A185" s="28" t="s">
        <v>495</v>
      </c>
      <c r="B185" s="28" t="s">
        <v>1074</v>
      </c>
      <c r="C185" s="9" t="s">
        <v>1075</v>
      </c>
      <c r="D185" s="25" t="s">
        <v>1076</v>
      </c>
      <c r="E185" s="24">
        <v>2023.0</v>
      </c>
      <c r="F185" s="5" t="s">
        <v>764</v>
      </c>
      <c r="G185" s="26" t="s">
        <v>50</v>
      </c>
      <c r="H185" s="24" t="s">
        <v>434</v>
      </c>
      <c r="I185" s="24" t="s">
        <v>1077</v>
      </c>
    </row>
    <row r="186">
      <c r="A186" s="24" t="s">
        <v>472</v>
      </c>
      <c r="B186" s="24" t="s">
        <v>1078</v>
      </c>
      <c r="C186" s="6" t="s">
        <v>1079</v>
      </c>
      <c r="D186" s="25" t="s">
        <v>1080</v>
      </c>
      <c r="E186" s="24">
        <v>2023.0</v>
      </c>
      <c r="F186" s="5" t="s">
        <v>764</v>
      </c>
      <c r="G186" s="26" t="s">
        <v>1081</v>
      </c>
      <c r="H186" s="24" t="s">
        <v>1082</v>
      </c>
      <c r="I186" s="24" t="s">
        <v>1083</v>
      </c>
    </row>
    <row r="187">
      <c r="A187" s="24" t="s">
        <v>1084</v>
      </c>
      <c r="B187" s="24" t="s">
        <v>1085</v>
      </c>
      <c r="C187" s="9" t="s">
        <v>1086</v>
      </c>
      <c r="D187" s="29" t="s">
        <v>1087</v>
      </c>
      <c r="E187" s="24">
        <v>2023.0</v>
      </c>
      <c r="F187" s="5" t="s">
        <v>800</v>
      </c>
      <c r="G187" s="26" t="s">
        <v>597</v>
      </c>
      <c r="H187" s="24" t="s">
        <v>1088</v>
      </c>
      <c r="I187" s="24" t="s">
        <v>1089</v>
      </c>
    </row>
    <row r="188">
      <c r="A188" s="28" t="s">
        <v>1090</v>
      </c>
      <c r="B188" s="28" t="s">
        <v>1091</v>
      </c>
      <c r="C188" s="6" t="s">
        <v>1092</v>
      </c>
      <c r="D188" s="25" t="s">
        <v>1093</v>
      </c>
      <c r="E188" s="24">
        <v>2023.0</v>
      </c>
      <c r="F188" s="5" t="s">
        <v>764</v>
      </c>
      <c r="G188" s="26" t="s">
        <v>1094</v>
      </c>
      <c r="H188" s="30"/>
      <c r="I188" s="30"/>
    </row>
    <row r="189">
      <c r="A189" s="24" t="s">
        <v>243</v>
      </c>
      <c r="B189" s="24" t="s">
        <v>1095</v>
      </c>
      <c r="C189" s="9" t="s">
        <v>1096</v>
      </c>
      <c r="D189" s="25" t="s">
        <v>1097</v>
      </c>
      <c r="E189" s="24">
        <v>2023.0</v>
      </c>
      <c r="F189" s="5" t="s">
        <v>800</v>
      </c>
      <c r="G189" s="26" t="s">
        <v>1098</v>
      </c>
      <c r="H189" s="24" t="s">
        <v>1099</v>
      </c>
      <c r="I189" s="24" t="s">
        <v>964</v>
      </c>
    </row>
    <row r="190">
      <c r="A190" s="24" t="s">
        <v>1100</v>
      </c>
      <c r="B190" s="24" t="s">
        <v>1101</v>
      </c>
      <c r="C190" s="9" t="s">
        <v>1102</v>
      </c>
      <c r="D190" s="25" t="s">
        <v>1103</v>
      </c>
      <c r="E190" s="24">
        <v>2023.0</v>
      </c>
      <c r="F190" s="12" t="s">
        <v>771</v>
      </c>
      <c r="G190" s="26" t="s">
        <v>154</v>
      </c>
      <c r="H190" s="24" t="s">
        <v>1104</v>
      </c>
      <c r="I190" s="24" t="s">
        <v>1105</v>
      </c>
    </row>
    <row r="191">
      <c r="A191" s="24" t="s">
        <v>1106</v>
      </c>
      <c r="B191" s="24" t="s">
        <v>651</v>
      </c>
      <c r="C191" s="6" t="s">
        <v>1107</v>
      </c>
      <c r="D191" s="25" t="s">
        <v>1108</v>
      </c>
      <c r="E191" s="24">
        <v>2023.0</v>
      </c>
      <c r="F191" s="24" t="s">
        <v>800</v>
      </c>
      <c r="G191" s="26" t="s">
        <v>154</v>
      </c>
      <c r="H191" s="24" t="s">
        <v>1109</v>
      </c>
      <c r="I191" s="24" t="s">
        <v>1110</v>
      </c>
    </row>
    <row r="192">
      <c r="A192" s="24" t="s">
        <v>1111</v>
      </c>
      <c r="B192" s="24" t="s">
        <v>1112</v>
      </c>
      <c r="C192" s="6" t="s">
        <v>1113</v>
      </c>
      <c r="D192" s="25" t="s">
        <v>1114</v>
      </c>
      <c r="E192" s="24">
        <v>2023.0</v>
      </c>
      <c r="F192" s="24" t="s">
        <v>771</v>
      </c>
      <c r="G192" s="26" t="s">
        <v>1115</v>
      </c>
      <c r="H192" s="24" t="s">
        <v>1116</v>
      </c>
      <c r="I192" s="24" t="s">
        <v>1117</v>
      </c>
    </row>
    <row r="193">
      <c r="A193" s="24" t="s">
        <v>1118</v>
      </c>
      <c r="B193" s="24" t="s">
        <v>1119</v>
      </c>
      <c r="C193" s="6" t="s">
        <v>1120</v>
      </c>
      <c r="D193" s="25" t="s">
        <v>1121</v>
      </c>
      <c r="E193" s="24">
        <v>2023.0</v>
      </c>
      <c r="F193" s="5" t="s">
        <v>771</v>
      </c>
      <c r="G193" s="26" t="s">
        <v>322</v>
      </c>
      <c r="H193" s="24" t="s">
        <v>1122</v>
      </c>
      <c r="I193" s="24" t="s">
        <v>959</v>
      </c>
    </row>
    <row r="194">
      <c r="A194" s="24" t="s">
        <v>342</v>
      </c>
      <c r="B194" s="24" t="s">
        <v>1123</v>
      </c>
      <c r="C194" s="6" t="s">
        <v>1124</v>
      </c>
      <c r="D194" s="25" t="s">
        <v>1125</v>
      </c>
      <c r="E194" s="24">
        <v>2023.0</v>
      </c>
      <c r="F194" s="5" t="s">
        <v>800</v>
      </c>
      <c r="G194" s="26" t="s">
        <v>937</v>
      </c>
      <c r="H194" s="24" t="s">
        <v>254</v>
      </c>
      <c r="I194" s="24" t="s">
        <v>1126</v>
      </c>
    </row>
    <row r="195">
      <c r="A195" s="24" t="s">
        <v>1127</v>
      </c>
      <c r="B195" s="24" t="s">
        <v>1128</v>
      </c>
      <c r="C195" s="6" t="s">
        <v>1129</v>
      </c>
      <c r="D195" s="25" t="s">
        <v>1130</v>
      </c>
      <c r="E195" s="24">
        <v>2023.0</v>
      </c>
      <c r="F195" s="12" t="s">
        <v>957</v>
      </c>
      <c r="G195" s="26" t="s">
        <v>937</v>
      </c>
      <c r="H195" s="24" t="s">
        <v>1131</v>
      </c>
      <c r="I195" s="24" t="s">
        <v>855</v>
      </c>
    </row>
    <row r="196">
      <c r="A196" s="24" t="s">
        <v>472</v>
      </c>
      <c r="B196" s="24" t="s">
        <v>212</v>
      </c>
      <c r="C196" s="6" t="s">
        <v>1132</v>
      </c>
      <c r="D196" s="25" t="s">
        <v>1133</v>
      </c>
      <c r="E196" s="24">
        <v>2023.0</v>
      </c>
      <c r="F196" s="5" t="s">
        <v>957</v>
      </c>
      <c r="G196" s="26" t="s">
        <v>1134</v>
      </c>
      <c r="H196" s="24" t="s">
        <v>1135</v>
      </c>
      <c r="I196" s="24" t="s">
        <v>1136</v>
      </c>
    </row>
    <row r="197">
      <c r="A197" s="24" t="s">
        <v>1137</v>
      </c>
      <c r="B197" s="24" t="s">
        <v>1138</v>
      </c>
      <c r="C197" s="9" t="s">
        <v>1139</v>
      </c>
      <c r="D197" s="25" t="s">
        <v>1140</v>
      </c>
      <c r="E197" s="24">
        <v>2023.0</v>
      </c>
      <c r="F197" s="5" t="s">
        <v>764</v>
      </c>
      <c r="G197" s="26" t="s">
        <v>329</v>
      </c>
      <c r="H197" s="24" t="s">
        <v>533</v>
      </c>
      <c r="I197" s="24" t="s">
        <v>1141</v>
      </c>
    </row>
    <row r="198">
      <c r="A198" s="24" t="s">
        <v>1142</v>
      </c>
      <c r="B198" s="24" t="s">
        <v>1143</v>
      </c>
      <c r="C198" s="9" t="s">
        <v>1144</v>
      </c>
      <c r="D198" s="25" t="s">
        <v>1145</v>
      </c>
      <c r="E198" s="24">
        <v>2023.0</v>
      </c>
      <c r="F198" s="5" t="s">
        <v>764</v>
      </c>
      <c r="G198" s="26" t="s">
        <v>329</v>
      </c>
      <c r="H198" s="24" t="s">
        <v>1146</v>
      </c>
      <c r="I198" s="24" t="s">
        <v>1147</v>
      </c>
    </row>
    <row r="199">
      <c r="A199" s="25" t="s">
        <v>46</v>
      </c>
      <c r="B199" s="24" t="s">
        <v>81</v>
      </c>
      <c r="C199" s="9" t="s">
        <v>1148</v>
      </c>
      <c r="D199" s="25" t="s">
        <v>1149</v>
      </c>
      <c r="E199" s="24">
        <v>2023.0</v>
      </c>
      <c r="F199" s="5" t="s">
        <v>764</v>
      </c>
      <c r="G199" s="26" t="s">
        <v>1150</v>
      </c>
      <c r="H199" s="24" t="s">
        <v>85</v>
      </c>
      <c r="I199" s="24" t="s">
        <v>249</v>
      </c>
    </row>
    <row r="200">
      <c r="A200" s="24" t="s">
        <v>410</v>
      </c>
      <c r="B200" s="24" t="s">
        <v>1151</v>
      </c>
      <c r="C200" s="9" t="s">
        <v>1152</v>
      </c>
      <c r="D200" s="25" t="s">
        <v>1153</v>
      </c>
      <c r="E200" s="24">
        <v>2024.0</v>
      </c>
      <c r="F200" s="24" t="s">
        <v>1154</v>
      </c>
      <c r="G200" s="26" t="s">
        <v>360</v>
      </c>
      <c r="H200" s="24" t="s">
        <v>1155</v>
      </c>
      <c r="I200" s="24" t="s">
        <v>1156</v>
      </c>
    </row>
    <row r="201">
      <c r="A201" s="24" t="s">
        <v>113</v>
      </c>
      <c r="B201" s="24" t="s">
        <v>1157</v>
      </c>
      <c r="C201" s="6" t="s">
        <v>1158</v>
      </c>
      <c r="D201" s="31" t="s">
        <v>1159</v>
      </c>
      <c r="E201" s="24">
        <v>2024.0</v>
      </c>
      <c r="F201" s="5" t="s">
        <v>1160</v>
      </c>
      <c r="G201" s="26" t="s">
        <v>21</v>
      </c>
      <c r="H201" s="24" t="s">
        <v>1161</v>
      </c>
      <c r="I201" s="24" t="s">
        <v>1162</v>
      </c>
    </row>
    <row r="202">
      <c r="A202" s="24" t="s">
        <v>1163</v>
      </c>
      <c r="B202" s="24" t="s">
        <v>1164</v>
      </c>
      <c r="C202" s="9" t="s">
        <v>1165</v>
      </c>
      <c r="D202" s="25" t="s">
        <v>1166</v>
      </c>
      <c r="E202" s="24">
        <v>2024.0</v>
      </c>
      <c r="F202" s="5" t="s">
        <v>1160</v>
      </c>
      <c r="G202" s="26" t="s">
        <v>21</v>
      </c>
      <c r="H202" s="24" t="s">
        <v>1167</v>
      </c>
      <c r="I202" s="24" t="s">
        <v>1156</v>
      </c>
    </row>
    <row r="203">
      <c r="A203" s="24" t="s">
        <v>1168</v>
      </c>
      <c r="B203" s="24" t="s">
        <v>1169</v>
      </c>
      <c r="C203" s="9" t="s">
        <v>1170</v>
      </c>
      <c r="D203" s="25" t="s">
        <v>1171</v>
      </c>
      <c r="E203" s="24">
        <v>2024.0</v>
      </c>
      <c r="F203" s="5" t="s">
        <v>957</v>
      </c>
      <c r="G203" s="26" t="s">
        <v>21</v>
      </c>
      <c r="H203" s="24" t="s">
        <v>725</v>
      </c>
      <c r="I203" s="24" t="s">
        <v>1172</v>
      </c>
    </row>
    <row r="204">
      <c r="A204" s="28" t="s">
        <v>1173</v>
      </c>
      <c r="B204" s="24" t="s">
        <v>1174</v>
      </c>
      <c r="C204" s="6" t="s">
        <v>1175</v>
      </c>
      <c r="D204" s="25" t="s">
        <v>1176</v>
      </c>
      <c r="E204" s="24">
        <v>2024.0</v>
      </c>
      <c r="F204" s="24" t="s">
        <v>1154</v>
      </c>
      <c r="G204" s="26" t="s">
        <v>21</v>
      </c>
      <c r="H204" s="24" t="s">
        <v>123</v>
      </c>
      <c r="I204" s="24" t="s">
        <v>1177</v>
      </c>
    </row>
    <row r="205">
      <c r="A205" s="24" t="s">
        <v>1178</v>
      </c>
      <c r="B205" s="24" t="s">
        <v>1179</v>
      </c>
      <c r="C205" s="9" t="s">
        <v>1180</v>
      </c>
      <c r="D205" s="25" t="s">
        <v>1181</v>
      </c>
      <c r="E205" s="24">
        <v>2024.0</v>
      </c>
      <c r="F205" s="24" t="s">
        <v>1154</v>
      </c>
      <c r="G205" s="26" t="s">
        <v>21</v>
      </c>
      <c r="H205" s="24" t="s">
        <v>1182</v>
      </c>
      <c r="I205" s="24" t="s">
        <v>1183</v>
      </c>
    </row>
    <row r="206">
      <c r="A206" s="24" t="s">
        <v>107</v>
      </c>
      <c r="B206" s="24" t="s">
        <v>1184</v>
      </c>
      <c r="C206" s="9" t="s">
        <v>1185</v>
      </c>
      <c r="D206" s="25" t="s">
        <v>1186</v>
      </c>
      <c r="E206" s="24">
        <v>2024.0</v>
      </c>
      <c r="F206" s="24" t="s">
        <v>1154</v>
      </c>
      <c r="G206" s="26" t="s">
        <v>21</v>
      </c>
      <c r="H206" s="24" t="s">
        <v>1072</v>
      </c>
      <c r="I206" s="24" t="s">
        <v>1187</v>
      </c>
    </row>
    <row r="207">
      <c r="A207" s="24" t="s">
        <v>896</v>
      </c>
      <c r="B207" s="24" t="s">
        <v>1188</v>
      </c>
      <c r="C207" s="6" t="s">
        <v>1189</v>
      </c>
      <c r="D207" s="25" t="s">
        <v>1190</v>
      </c>
      <c r="E207" s="24">
        <v>2024.0</v>
      </c>
      <c r="F207" s="5" t="s">
        <v>771</v>
      </c>
      <c r="G207" s="26" t="s">
        <v>21</v>
      </c>
      <c r="H207" s="24" t="s">
        <v>1191</v>
      </c>
      <c r="I207" s="24" t="s">
        <v>1192</v>
      </c>
    </row>
    <row r="208">
      <c r="A208" s="24" t="s">
        <v>1193</v>
      </c>
      <c r="B208" s="24" t="s">
        <v>1194</v>
      </c>
      <c r="C208" s="6" t="s">
        <v>1195</v>
      </c>
      <c r="D208" s="25" t="s">
        <v>1196</v>
      </c>
      <c r="E208" s="24">
        <v>2024.0</v>
      </c>
      <c r="F208" s="5" t="s">
        <v>1154</v>
      </c>
      <c r="G208" s="26" t="s">
        <v>14</v>
      </c>
      <c r="H208" s="24" t="s">
        <v>22</v>
      </c>
      <c r="I208" s="24" t="s">
        <v>1197</v>
      </c>
    </row>
    <row r="209">
      <c r="A209" s="24" t="s">
        <v>1111</v>
      </c>
      <c r="B209" s="24" t="s">
        <v>1198</v>
      </c>
      <c r="C209" s="6" t="s">
        <v>1199</v>
      </c>
      <c r="D209" s="25" t="s">
        <v>1200</v>
      </c>
      <c r="E209" s="24">
        <v>2024.0</v>
      </c>
      <c r="F209" s="5" t="s">
        <v>957</v>
      </c>
      <c r="G209" s="26" t="s">
        <v>14</v>
      </c>
      <c r="H209" s="24" t="s">
        <v>674</v>
      </c>
      <c r="I209" s="24" t="s">
        <v>1201</v>
      </c>
    </row>
    <row r="210">
      <c r="A210" s="24" t="s">
        <v>896</v>
      </c>
      <c r="B210" s="24" t="s">
        <v>1202</v>
      </c>
      <c r="C210" s="9" t="s">
        <v>1203</v>
      </c>
      <c r="D210" s="25" t="s">
        <v>1204</v>
      </c>
      <c r="E210" s="24">
        <v>2024.0</v>
      </c>
      <c r="F210" s="5" t="s">
        <v>957</v>
      </c>
      <c r="G210" s="26" t="s">
        <v>43</v>
      </c>
      <c r="H210" s="24" t="s">
        <v>1205</v>
      </c>
      <c r="I210" s="24" t="s">
        <v>1206</v>
      </c>
    </row>
    <row r="211">
      <c r="A211" s="24" t="s">
        <v>1207</v>
      </c>
      <c r="B211" s="24" t="s">
        <v>1208</v>
      </c>
      <c r="C211" s="9" t="s">
        <v>1209</v>
      </c>
      <c r="D211" s="31" t="s">
        <v>1210</v>
      </c>
      <c r="E211" s="24">
        <v>2024.0</v>
      </c>
      <c r="F211" s="12" t="s">
        <v>957</v>
      </c>
      <c r="G211" s="26" t="s">
        <v>50</v>
      </c>
      <c r="H211" s="24" t="s">
        <v>1211</v>
      </c>
      <c r="I211" s="24" t="s">
        <v>1212</v>
      </c>
    </row>
    <row r="212">
      <c r="A212" s="24" t="s">
        <v>1207</v>
      </c>
      <c r="B212" s="24" t="s">
        <v>1213</v>
      </c>
      <c r="C212" s="9" t="s">
        <v>1214</v>
      </c>
      <c r="D212" s="25" t="s">
        <v>1215</v>
      </c>
      <c r="E212" s="24">
        <v>2024.0</v>
      </c>
      <c r="F212" s="5" t="s">
        <v>1160</v>
      </c>
      <c r="G212" s="26" t="s">
        <v>50</v>
      </c>
      <c r="H212" s="24" t="s">
        <v>1216</v>
      </c>
      <c r="I212" s="24" t="s">
        <v>305</v>
      </c>
    </row>
    <row r="213">
      <c r="A213" s="24" t="s">
        <v>1217</v>
      </c>
      <c r="B213" s="24" t="s">
        <v>1218</v>
      </c>
      <c r="C213" s="9" t="s">
        <v>1219</v>
      </c>
      <c r="D213" s="31" t="s">
        <v>1220</v>
      </c>
      <c r="E213" s="24">
        <v>2024.0</v>
      </c>
      <c r="F213" s="5" t="s">
        <v>1160</v>
      </c>
      <c r="G213" s="26" t="s">
        <v>50</v>
      </c>
      <c r="H213" s="24" t="s">
        <v>1221</v>
      </c>
      <c r="I213" s="24" t="s">
        <v>1222</v>
      </c>
    </row>
    <row r="214">
      <c r="A214" s="24" t="s">
        <v>197</v>
      </c>
      <c r="B214" s="24" t="s">
        <v>1223</v>
      </c>
      <c r="C214" s="6" t="s">
        <v>1224</v>
      </c>
      <c r="D214" s="25" t="s">
        <v>1225</v>
      </c>
      <c r="E214" s="24">
        <v>2024.0</v>
      </c>
      <c r="F214" s="5" t="s">
        <v>1160</v>
      </c>
      <c r="G214" s="26" t="s">
        <v>50</v>
      </c>
      <c r="H214" s="24" t="s">
        <v>235</v>
      </c>
      <c r="I214" s="24" t="s">
        <v>220</v>
      </c>
    </row>
    <row r="215">
      <c r="A215" s="24" t="s">
        <v>404</v>
      </c>
      <c r="B215" s="24" t="s">
        <v>862</v>
      </c>
      <c r="C215" s="6" t="s">
        <v>1226</v>
      </c>
      <c r="D215" s="25" t="s">
        <v>1227</v>
      </c>
      <c r="E215" s="24">
        <v>2024.0</v>
      </c>
      <c r="F215" s="5" t="s">
        <v>957</v>
      </c>
      <c r="G215" s="26" t="s">
        <v>50</v>
      </c>
      <c r="H215" s="24" t="s">
        <v>1228</v>
      </c>
      <c r="I215" s="24" t="s">
        <v>1229</v>
      </c>
    </row>
    <row r="216">
      <c r="A216" s="24" t="s">
        <v>1230</v>
      </c>
      <c r="B216" s="24" t="s">
        <v>1231</v>
      </c>
      <c r="C216" s="9" t="s">
        <v>1232</v>
      </c>
      <c r="D216" s="31" t="s">
        <v>1233</v>
      </c>
      <c r="E216" s="24">
        <v>2024.0</v>
      </c>
      <c r="F216" s="23" t="s">
        <v>1160</v>
      </c>
      <c r="G216" s="26" t="s">
        <v>58</v>
      </c>
      <c r="H216" s="24" t="s">
        <v>738</v>
      </c>
      <c r="I216" s="24" t="s">
        <v>1234</v>
      </c>
    </row>
    <row r="217">
      <c r="A217" s="24" t="s">
        <v>1235</v>
      </c>
      <c r="B217" s="24" t="s">
        <v>1236</v>
      </c>
      <c r="C217" s="9" t="s">
        <v>1237</v>
      </c>
      <c r="D217" s="25" t="s">
        <v>1238</v>
      </c>
      <c r="E217" s="24">
        <v>2024.0</v>
      </c>
      <c r="F217" s="12" t="s">
        <v>771</v>
      </c>
      <c r="G217" s="26" t="s">
        <v>43</v>
      </c>
      <c r="H217" s="24" t="s">
        <v>1239</v>
      </c>
      <c r="I217" s="24" t="s">
        <v>1240</v>
      </c>
    </row>
    <row r="218">
      <c r="A218" s="24" t="s">
        <v>342</v>
      </c>
      <c r="B218" s="24" t="s">
        <v>1241</v>
      </c>
      <c r="C218" s="6" t="s">
        <v>1242</v>
      </c>
      <c r="D218" s="25" t="s">
        <v>1243</v>
      </c>
      <c r="E218" s="24">
        <v>2024.0</v>
      </c>
      <c r="F218" s="5" t="s">
        <v>1154</v>
      </c>
      <c r="G218" s="26" t="s">
        <v>701</v>
      </c>
      <c r="H218" s="24" t="s">
        <v>1244</v>
      </c>
      <c r="I218" s="24" t="s">
        <v>1245</v>
      </c>
    </row>
    <row r="219">
      <c r="A219" s="24" t="s">
        <v>1246</v>
      </c>
      <c r="B219" s="24" t="s">
        <v>1247</v>
      </c>
      <c r="C219" s="6" t="s">
        <v>1248</v>
      </c>
      <c r="D219" s="25" t="s">
        <v>1249</v>
      </c>
      <c r="E219" s="24">
        <v>2024.0</v>
      </c>
      <c r="F219" s="5" t="s">
        <v>1160</v>
      </c>
      <c r="G219" s="26" t="s">
        <v>154</v>
      </c>
      <c r="H219" s="24" t="s">
        <v>533</v>
      </c>
      <c r="I219" s="24" t="s">
        <v>1250</v>
      </c>
    </row>
    <row r="220">
      <c r="A220" s="24" t="s">
        <v>896</v>
      </c>
      <c r="B220" s="24" t="s">
        <v>1251</v>
      </c>
      <c r="C220" s="9" t="s">
        <v>1252</v>
      </c>
      <c r="D220" s="25" t="s">
        <v>1253</v>
      </c>
      <c r="E220" s="24">
        <v>2024.0</v>
      </c>
      <c r="F220" s="5" t="s">
        <v>771</v>
      </c>
      <c r="G220" s="26" t="s">
        <v>166</v>
      </c>
      <c r="H220" s="24" t="s">
        <v>1254</v>
      </c>
      <c r="I220" s="24" t="s">
        <v>1255</v>
      </c>
    </row>
    <row r="221">
      <c r="A221" s="24" t="s">
        <v>1256</v>
      </c>
      <c r="B221" s="24" t="s">
        <v>1257</v>
      </c>
      <c r="C221" s="6" t="s">
        <v>1258</v>
      </c>
      <c r="D221" s="25" t="s">
        <v>1259</v>
      </c>
      <c r="E221" s="24">
        <v>2024.0</v>
      </c>
      <c r="F221" s="24" t="s">
        <v>957</v>
      </c>
      <c r="G221" s="26" t="s">
        <v>154</v>
      </c>
      <c r="H221" s="24" t="s">
        <v>1260</v>
      </c>
      <c r="I221" s="24" t="s">
        <v>1255</v>
      </c>
    </row>
    <row r="222">
      <c r="A222" s="24" t="s">
        <v>1261</v>
      </c>
      <c r="B222" s="24" t="s">
        <v>1262</v>
      </c>
      <c r="C222" s="6" t="s">
        <v>1263</v>
      </c>
      <c r="D222" s="25" t="s">
        <v>1264</v>
      </c>
      <c r="E222" s="24">
        <v>2024.0</v>
      </c>
      <c r="F222" s="24" t="s">
        <v>1154</v>
      </c>
      <c r="G222" s="26" t="s">
        <v>154</v>
      </c>
      <c r="H222" s="24" t="s">
        <v>1265</v>
      </c>
      <c r="I222" s="24" t="s">
        <v>959</v>
      </c>
    </row>
    <row r="223">
      <c r="A223" s="24" t="s">
        <v>1266</v>
      </c>
      <c r="B223" s="24" t="s">
        <v>768</v>
      </c>
      <c r="C223" s="6" t="s">
        <v>769</v>
      </c>
      <c r="D223" s="25" t="s">
        <v>1267</v>
      </c>
      <c r="E223" s="24">
        <v>2024.0</v>
      </c>
      <c r="F223" s="11" t="s">
        <v>663</v>
      </c>
      <c r="G223" s="26" t="s">
        <v>1268</v>
      </c>
      <c r="H223" s="24" t="s">
        <v>1269</v>
      </c>
      <c r="I223" s="24" t="s">
        <v>1270</v>
      </c>
    </row>
    <row r="224">
      <c r="A224" s="24" t="s">
        <v>1271</v>
      </c>
      <c r="B224" s="24" t="s">
        <v>1272</v>
      </c>
      <c r="C224" s="6" t="s">
        <v>1273</v>
      </c>
      <c r="D224" s="25" t="s">
        <v>1274</v>
      </c>
      <c r="E224" s="24">
        <v>2024.0</v>
      </c>
      <c r="F224" s="5" t="s">
        <v>771</v>
      </c>
      <c r="G224" s="26" t="s">
        <v>322</v>
      </c>
      <c r="H224" s="24" t="s">
        <v>1275</v>
      </c>
      <c r="I224" s="24" t="s">
        <v>1276</v>
      </c>
    </row>
    <row r="225">
      <c r="A225" s="24" t="s">
        <v>113</v>
      </c>
      <c r="B225" s="24" t="s">
        <v>1277</v>
      </c>
      <c r="C225" s="9" t="s">
        <v>1278</v>
      </c>
      <c r="D225" s="25" t="s">
        <v>1279</v>
      </c>
      <c r="E225" s="24">
        <v>2024.0</v>
      </c>
      <c r="F225" s="5" t="s">
        <v>1154</v>
      </c>
      <c r="G225" s="26" t="s">
        <v>21</v>
      </c>
      <c r="H225" s="24" t="s">
        <v>1280</v>
      </c>
      <c r="I225" s="24" t="s">
        <v>778</v>
      </c>
    </row>
    <row r="226">
      <c r="A226" s="24" t="s">
        <v>1281</v>
      </c>
      <c r="B226" s="24" t="s">
        <v>1282</v>
      </c>
      <c r="C226" s="6" t="s">
        <v>1283</v>
      </c>
      <c r="D226" s="25" t="s">
        <v>1284</v>
      </c>
      <c r="E226" s="24">
        <v>2024.0</v>
      </c>
      <c r="F226" s="5" t="s">
        <v>800</v>
      </c>
      <c r="G226" s="26" t="s">
        <v>1285</v>
      </c>
      <c r="H226" s="24" t="s">
        <v>1286</v>
      </c>
      <c r="I226" s="24" t="s">
        <v>1287</v>
      </c>
    </row>
    <row r="227">
      <c r="A227" s="24" t="s">
        <v>1288</v>
      </c>
      <c r="B227" s="24" t="s">
        <v>1289</v>
      </c>
      <c r="C227" s="9" t="s">
        <v>1290</v>
      </c>
      <c r="D227" s="25" t="s">
        <v>1291</v>
      </c>
      <c r="E227" s="24">
        <v>2024.0</v>
      </c>
      <c r="F227" s="5" t="s">
        <v>957</v>
      </c>
      <c r="G227" s="26" t="s">
        <v>329</v>
      </c>
      <c r="H227" s="24" t="s">
        <v>254</v>
      </c>
      <c r="I227" s="24" t="s">
        <v>1045</v>
      </c>
    </row>
    <row r="228">
      <c r="A228" s="24" t="s">
        <v>1292</v>
      </c>
      <c r="B228" s="24" t="s">
        <v>1293</v>
      </c>
      <c r="C228" s="9" t="s">
        <v>1294</v>
      </c>
      <c r="D228" s="25" t="s">
        <v>1295</v>
      </c>
      <c r="E228" s="24">
        <v>2024.0</v>
      </c>
      <c r="F228" s="5" t="s">
        <v>957</v>
      </c>
      <c r="G228" s="26" t="s">
        <v>329</v>
      </c>
      <c r="H228" s="24" t="s">
        <v>978</v>
      </c>
      <c r="I228" s="24" t="s">
        <v>979</v>
      </c>
    </row>
    <row r="229">
      <c r="A229" s="28" t="s">
        <v>656</v>
      </c>
      <c r="B229" s="24" t="s">
        <v>1296</v>
      </c>
      <c r="C229" s="9" t="s">
        <v>1297</v>
      </c>
      <c r="D229" s="32" t="s">
        <v>1298</v>
      </c>
      <c r="E229" s="24">
        <v>2024.0</v>
      </c>
      <c r="F229" s="24" t="s">
        <v>1154</v>
      </c>
      <c r="G229" s="26" t="s">
        <v>166</v>
      </c>
      <c r="H229" s="24" t="s">
        <v>1299</v>
      </c>
      <c r="I229" s="24" t="s">
        <v>1300</v>
      </c>
    </row>
    <row r="230">
      <c r="A230" s="27" t="s">
        <v>1301</v>
      </c>
      <c r="B230" s="27" t="s">
        <v>1302</v>
      </c>
      <c r="C230" s="15" t="s">
        <v>1303</v>
      </c>
      <c r="D230" s="12" t="s">
        <v>1304</v>
      </c>
      <c r="E230" s="7">
        <v>2024.0</v>
      </c>
      <c r="F230" s="27" t="s">
        <v>1160</v>
      </c>
      <c r="G230" s="33" t="s">
        <v>1305</v>
      </c>
      <c r="H230" s="23" t="s">
        <v>1306</v>
      </c>
      <c r="I230" s="23" t="s">
        <v>1307</v>
      </c>
    </row>
    <row r="231">
      <c r="A231" s="27" t="s">
        <v>113</v>
      </c>
      <c r="B231" s="27" t="s">
        <v>1308</v>
      </c>
      <c r="C231" s="15" t="s">
        <v>1309</v>
      </c>
      <c r="D231" s="12" t="s">
        <v>1310</v>
      </c>
      <c r="E231" s="27">
        <v>2024.0</v>
      </c>
      <c r="F231" s="27" t="s">
        <v>1160</v>
      </c>
      <c r="G231" s="33" t="s">
        <v>166</v>
      </c>
      <c r="H231" s="23" t="s">
        <v>254</v>
      </c>
      <c r="I231" s="23" t="s">
        <v>1311</v>
      </c>
    </row>
    <row r="232">
      <c r="A232" s="27" t="s">
        <v>1312</v>
      </c>
      <c r="B232" s="27" t="s">
        <v>1313</v>
      </c>
      <c r="C232" s="15" t="s">
        <v>1314</v>
      </c>
      <c r="D232" s="12" t="s">
        <v>1315</v>
      </c>
      <c r="E232" s="27">
        <v>2024.0</v>
      </c>
      <c r="F232" s="27" t="s">
        <v>1316</v>
      </c>
      <c r="G232" s="33" t="s">
        <v>701</v>
      </c>
      <c r="H232" s="23" t="s">
        <v>1317</v>
      </c>
      <c r="I232" s="23" t="s">
        <v>1318</v>
      </c>
    </row>
    <row r="233">
      <c r="A233" s="5" t="s">
        <v>31</v>
      </c>
      <c r="B233" s="5" t="s">
        <v>1319</v>
      </c>
      <c r="C233" s="9" t="s">
        <v>1320</v>
      </c>
      <c r="D233" s="5" t="s">
        <v>1321</v>
      </c>
      <c r="E233" s="5" t="s">
        <v>1322</v>
      </c>
      <c r="F233" s="24" t="s">
        <v>277</v>
      </c>
      <c r="G233" s="14"/>
      <c r="H233" s="34"/>
      <c r="I233" s="34"/>
    </row>
    <row r="234">
      <c r="A234" s="5" t="s">
        <v>1323</v>
      </c>
      <c r="B234" s="5" t="s">
        <v>1324</v>
      </c>
      <c r="C234" s="6" t="s">
        <v>1325</v>
      </c>
      <c r="D234" s="10"/>
      <c r="E234" s="5">
        <v>2016.0</v>
      </c>
      <c r="F234" s="7" t="s">
        <v>277</v>
      </c>
      <c r="G234" s="8" t="s">
        <v>21</v>
      </c>
      <c r="H234" s="35" t="s">
        <v>1326</v>
      </c>
      <c r="I234" s="36" t="s">
        <v>1327</v>
      </c>
    </row>
    <row r="235">
      <c r="A235" s="27" t="s">
        <v>1328</v>
      </c>
      <c r="B235" s="27" t="s">
        <v>1329</v>
      </c>
      <c r="C235" s="37">
        <v>2.164214393E9</v>
      </c>
      <c r="D235" s="38" t="s">
        <v>1330</v>
      </c>
      <c r="E235" s="27">
        <v>2025.0</v>
      </c>
      <c r="F235" s="23" t="s">
        <v>1316</v>
      </c>
      <c r="G235" s="33" t="s">
        <v>21</v>
      </c>
      <c r="H235" s="23" t="s">
        <v>234</v>
      </c>
      <c r="I235" s="23" t="s">
        <v>1331</v>
      </c>
    </row>
    <row r="236">
      <c r="A236" s="27" t="s">
        <v>1106</v>
      </c>
      <c r="B236" s="27" t="s">
        <v>1332</v>
      </c>
      <c r="C236" s="37">
        <v>6.143573085E9</v>
      </c>
      <c r="D236" s="38" t="s">
        <v>1333</v>
      </c>
      <c r="E236" s="27">
        <v>2025.0</v>
      </c>
      <c r="F236" s="23" t="s">
        <v>1160</v>
      </c>
      <c r="G236" s="33" t="s">
        <v>14</v>
      </c>
      <c r="H236" s="23" t="s">
        <v>674</v>
      </c>
      <c r="I236" s="38" t="s">
        <v>1334</v>
      </c>
    </row>
    <row r="237">
      <c r="A237" s="27" t="s">
        <v>1335</v>
      </c>
      <c r="B237" s="27" t="s">
        <v>1332</v>
      </c>
      <c r="C237" s="37">
        <v>6.149814492E9</v>
      </c>
      <c r="D237" s="38" t="s">
        <v>1336</v>
      </c>
      <c r="E237" s="27">
        <v>2025.0</v>
      </c>
      <c r="F237" s="23" t="s">
        <v>1316</v>
      </c>
      <c r="G237" s="33" t="s">
        <v>50</v>
      </c>
      <c r="H237" s="38" t="s">
        <v>854</v>
      </c>
      <c r="I237" s="38" t="s">
        <v>1337</v>
      </c>
    </row>
    <row r="238">
      <c r="A238" s="27" t="s">
        <v>1338</v>
      </c>
      <c r="B238" s="27" t="s">
        <v>144</v>
      </c>
      <c r="C238" s="37">
        <v>5.137394025E9</v>
      </c>
      <c r="D238" s="38" t="s">
        <v>1339</v>
      </c>
      <c r="E238" s="27">
        <v>2025.0</v>
      </c>
      <c r="F238" s="23" t="s">
        <v>1316</v>
      </c>
      <c r="G238" s="33" t="s">
        <v>21</v>
      </c>
      <c r="H238" s="38" t="s">
        <v>745</v>
      </c>
      <c r="I238" s="38" t="s">
        <v>1340</v>
      </c>
    </row>
    <row r="239">
      <c r="A239" s="27" t="s">
        <v>1341</v>
      </c>
      <c r="B239" s="27" t="s">
        <v>1342</v>
      </c>
      <c r="C239" s="17"/>
      <c r="D239" s="27"/>
      <c r="E239" s="27">
        <v>2025.0</v>
      </c>
      <c r="F239" s="23" t="s">
        <v>1154</v>
      </c>
      <c r="G239" s="33" t="s">
        <v>50</v>
      </c>
      <c r="H239" s="23" t="s">
        <v>254</v>
      </c>
      <c r="I239" s="23" t="s">
        <v>1343</v>
      </c>
    </row>
    <row r="240">
      <c r="A240" s="27" t="s">
        <v>1344</v>
      </c>
      <c r="B240" s="27" t="s">
        <v>1345</v>
      </c>
      <c r="C240" s="17"/>
      <c r="D240" s="23" t="s">
        <v>1346</v>
      </c>
      <c r="E240" s="27">
        <v>2025.0</v>
      </c>
      <c r="F240" s="23" t="s">
        <v>1316</v>
      </c>
      <c r="G240" s="33" t="s">
        <v>1347</v>
      </c>
      <c r="H240" s="23" t="s">
        <v>978</v>
      </c>
      <c r="I240" s="23" t="s">
        <v>1348</v>
      </c>
    </row>
    <row r="241">
      <c r="A241" s="27" t="s">
        <v>1349</v>
      </c>
      <c r="B241" s="27" t="s">
        <v>1350</v>
      </c>
      <c r="C241" s="37">
        <v>3.304199236E9</v>
      </c>
      <c r="D241" s="38" t="s">
        <v>1351</v>
      </c>
      <c r="E241" s="27">
        <v>2025.0</v>
      </c>
      <c r="F241" s="23" t="s">
        <v>1160</v>
      </c>
      <c r="G241" s="33" t="s">
        <v>14</v>
      </c>
      <c r="H241" s="23" t="s">
        <v>1352</v>
      </c>
      <c r="I241" s="38" t="s">
        <v>1353</v>
      </c>
    </row>
    <row r="242">
      <c r="A242" s="27" t="s">
        <v>644</v>
      </c>
      <c r="B242" s="27" t="s">
        <v>556</v>
      </c>
      <c r="C242" s="37">
        <v>4.406236683E9</v>
      </c>
      <c r="D242" s="38" t="s">
        <v>1354</v>
      </c>
      <c r="E242" s="27">
        <v>2025.0</v>
      </c>
      <c r="F242" s="23" t="s">
        <v>1154</v>
      </c>
      <c r="G242" s="33" t="s">
        <v>43</v>
      </c>
      <c r="H242" s="23" t="s">
        <v>1029</v>
      </c>
      <c r="I242" s="38" t="s">
        <v>1355</v>
      </c>
    </row>
    <row r="243">
      <c r="A243" s="27" t="s">
        <v>1356</v>
      </c>
      <c r="B243" s="27" t="s">
        <v>1357</v>
      </c>
      <c r="C243" s="17"/>
      <c r="D243" s="27"/>
      <c r="E243" s="27">
        <v>2025.0</v>
      </c>
      <c r="F243" s="23" t="s">
        <v>1160</v>
      </c>
      <c r="G243" s="33" t="s">
        <v>291</v>
      </c>
      <c r="H243" s="23" t="s">
        <v>1358</v>
      </c>
      <c r="I243" s="23" t="s">
        <v>959</v>
      </c>
    </row>
    <row r="244">
      <c r="A244" s="27" t="s">
        <v>458</v>
      </c>
      <c r="B244" s="27" t="s">
        <v>1359</v>
      </c>
      <c r="C244" s="15">
        <v>5.138149116E9</v>
      </c>
      <c r="D244" s="12" t="s">
        <v>1360</v>
      </c>
      <c r="E244" s="27">
        <v>2025.0</v>
      </c>
      <c r="F244" s="23" t="s">
        <v>1154</v>
      </c>
      <c r="G244" s="33" t="s">
        <v>50</v>
      </c>
      <c r="H244" s="5" t="s">
        <v>824</v>
      </c>
      <c r="I244" s="23" t="s">
        <v>1361</v>
      </c>
    </row>
    <row r="245">
      <c r="A245" s="27" t="s">
        <v>1362</v>
      </c>
      <c r="B245" s="27" t="s">
        <v>1363</v>
      </c>
      <c r="C245" s="17"/>
      <c r="D245" s="23" t="s">
        <v>1364</v>
      </c>
      <c r="E245" s="27">
        <v>2025.0</v>
      </c>
      <c r="F245" s="23" t="s">
        <v>1160</v>
      </c>
      <c r="G245" s="33"/>
      <c r="H245" s="35" t="s">
        <v>1365</v>
      </c>
      <c r="I245" s="39"/>
    </row>
    <row r="246">
      <c r="A246" s="27" t="s">
        <v>613</v>
      </c>
      <c r="B246" s="27" t="s">
        <v>1366</v>
      </c>
      <c r="C246" s="37" t="s">
        <v>1367</v>
      </c>
      <c r="D246" s="38" t="s">
        <v>1368</v>
      </c>
      <c r="E246" s="27">
        <v>2025.0</v>
      </c>
      <c r="F246" s="23" t="s">
        <v>1160</v>
      </c>
      <c r="G246" s="33" t="s">
        <v>134</v>
      </c>
      <c r="H246" s="23" t="s">
        <v>1369</v>
      </c>
      <c r="I246" s="38" t="s">
        <v>1370</v>
      </c>
    </row>
    <row r="247">
      <c r="A247" s="27" t="s">
        <v>1335</v>
      </c>
      <c r="B247" s="27" t="s">
        <v>1371</v>
      </c>
      <c r="C247" s="17"/>
      <c r="D247" s="27"/>
      <c r="E247" s="27">
        <v>2025.0</v>
      </c>
      <c r="F247" s="23" t="s">
        <v>1372</v>
      </c>
      <c r="G247" s="33" t="s">
        <v>50</v>
      </c>
      <c r="H247" s="23" t="s">
        <v>1373</v>
      </c>
      <c r="I247" s="23" t="s">
        <v>1374</v>
      </c>
    </row>
    <row r="248">
      <c r="A248" s="27" t="s">
        <v>1375</v>
      </c>
      <c r="B248" s="27" t="s">
        <v>1376</v>
      </c>
      <c r="C248" s="15" t="s">
        <v>1377</v>
      </c>
      <c r="D248" s="23" t="s">
        <v>1378</v>
      </c>
      <c r="E248" s="27">
        <v>2025.0</v>
      </c>
      <c r="F248" s="23" t="s">
        <v>1316</v>
      </c>
      <c r="G248" s="33" t="s">
        <v>14</v>
      </c>
      <c r="H248" s="23" t="s">
        <v>1352</v>
      </c>
      <c r="I248" s="23" t="s">
        <v>1379</v>
      </c>
    </row>
    <row r="249">
      <c r="A249" s="27" t="s">
        <v>119</v>
      </c>
      <c r="B249" s="27" t="s">
        <v>1380</v>
      </c>
      <c r="C249" s="37">
        <v>6.143399823E9</v>
      </c>
      <c r="D249" s="38" t="s">
        <v>1381</v>
      </c>
      <c r="E249" s="27">
        <v>2025.0</v>
      </c>
      <c r="F249" s="23" t="s">
        <v>1154</v>
      </c>
      <c r="G249" s="33" t="s">
        <v>21</v>
      </c>
      <c r="H249" s="23" t="s">
        <v>968</v>
      </c>
      <c r="I249" s="38" t="s">
        <v>1382</v>
      </c>
    </row>
    <row r="250">
      <c r="A250" s="27" t="s">
        <v>953</v>
      </c>
      <c r="B250" s="27" t="s">
        <v>1383</v>
      </c>
      <c r="C250" s="37">
        <v>7.249009755E9</v>
      </c>
      <c r="D250" s="38" t="s">
        <v>1384</v>
      </c>
      <c r="E250" s="27">
        <v>2025.0</v>
      </c>
      <c r="F250" s="23" t="s">
        <v>1160</v>
      </c>
      <c r="G250" s="33" t="s">
        <v>1347</v>
      </c>
      <c r="H250" s="23" t="s">
        <v>234</v>
      </c>
      <c r="I250" s="38" t="s">
        <v>1385</v>
      </c>
    </row>
    <row r="251">
      <c r="A251" s="27" t="s">
        <v>1386</v>
      </c>
      <c r="B251" s="27" t="s">
        <v>1387</v>
      </c>
      <c r="C251" s="37">
        <v>9.732021804E9</v>
      </c>
      <c r="D251" s="38" t="s">
        <v>1388</v>
      </c>
      <c r="E251" s="27">
        <v>2025.0</v>
      </c>
      <c r="F251" s="23" t="s">
        <v>1160</v>
      </c>
      <c r="G251" s="33" t="s">
        <v>1389</v>
      </c>
      <c r="H251" s="38" t="s">
        <v>1390</v>
      </c>
      <c r="I251" s="38" t="s">
        <v>1391</v>
      </c>
    </row>
    <row r="252">
      <c r="A252" s="27" t="s">
        <v>1392</v>
      </c>
      <c r="B252" s="27" t="s">
        <v>1241</v>
      </c>
      <c r="C252" s="37">
        <v>6.145980656E9</v>
      </c>
      <c r="D252" s="38" t="s">
        <v>1393</v>
      </c>
      <c r="E252" s="27">
        <v>2025.0</v>
      </c>
      <c r="F252" s="38" t="s">
        <v>1160</v>
      </c>
      <c r="G252" s="33" t="s">
        <v>58</v>
      </c>
      <c r="H252" s="38" t="s">
        <v>591</v>
      </c>
      <c r="I252" s="38" t="s">
        <v>1394</v>
      </c>
    </row>
    <row r="253">
      <c r="A253" s="27" t="s">
        <v>453</v>
      </c>
      <c r="B253" s="27" t="s">
        <v>1395</v>
      </c>
      <c r="C253" s="37">
        <v>6.037932098E9</v>
      </c>
      <c r="D253" s="38" t="s">
        <v>1396</v>
      </c>
      <c r="E253" s="27">
        <v>2025.0</v>
      </c>
      <c r="F253" s="23" t="s">
        <v>1154</v>
      </c>
      <c r="G253" s="33" t="s">
        <v>50</v>
      </c>
      <c r="H253" s="38" t="s">
        <v>1397</v>
      </c>
      <c r="I253" s="38" t="s">
        <v>1398</v>
      </c>
    </row>
    <row r="254">
      <c r="A254" s="27" t="s">
        <v>1399</v>
      </c>
      <c r="B254" s="27" t="s">
        <v>1400</v>
      </c>
      <c r="C254" s="40" t="s">
        <v>1401</v>
      </c>
      <c r="D254" s="23" t="s">
        <v>1402</v>
      </c>
      <c r="E254" s="27">
        <v>2025.0</v>
      </c>
      <c r="F254" s="23" t="s">
        <v>1316</v>
      </c>
      <c r="G254" s="33" t="s">
        <v>1403</v>
      </c>
      <c r="H254" s="23" t="s">
        <v>1404</v>
      </c>
      <c r="I254" s="23" t="s">
        <v>1405</v>
      </c>
    </row>
    <row r="255">
      <c r="A255" s="27" t="s">
        <v>465</v>
      </c>
      <c r="B255" s="27" t="s">
        <v>1406</v>
      </c>
      <c r="C255" s="15" t="s">
        <v>1407</v>
      </c>
      <c r="D255" s="27"/>
      <c r="E255" s="27">
        <v>2025.0</v>
      </c>
      <c r="F255" s="23" t="s">
        <v>1316</v>
      </c>
      <c r="G255" s="33" t="s">
        <v>166</v>
      </c>
      <c r="H255" s="23" t="s">
        <v>725</v>
      </c>
      <c r="I255" s="23" t="s">
        <v>1408</v>
      </c>
    </row>
    <row r="256">
      <c r="A256" s="27" t="s">
        <v>1409</v>
      </c>
      <c r="B256" s="27" t="s">
        <v>1410</v>
      </c>
      <c r="C256" s="15" t="s">
        <v>1411</v>
      </c>
      <c r="D256" s="27"/>
      <c r="E256" s="27">
        <v>2025.0</v>
      </c>
      <c r="F256" s="23" t="s">
        <v>1372</v>
      </c>
      <c r="G256" s="33" t="s">
        <v>166</v>
      </c>
      <c r="H256" s="23" t="s">
        <v>1412</v>
      </c>
      <c r="I256" s="23" t="s">
        <v>1413</v>
      </c>
    </row>
    <row r="257">
      <c r="A257" s="27" t="s">
        <v>1414</v>
      </c>
      <c r="B257" s="27" t="s">
        <v>1415</v>
      </c>
      <c r="C257" s="15" t="s">
        <v>1416</v>
      </c>
      <c r="D257" s="27"/>
      <c r="E257" s="27">
        <v>2025.0</v>
      </c>
      <c r="F257" s="23" t="s">
        <v>1154</v>
      </c>
      <c r="G257" s="33" t="s">
        <v>21</v>
      </c>
      <c r="H257" s="23" t="s">
        <v>978</v>
      </c>
      <c r="I257" s="23" t="s">
        <v>1045</v>
      </c>
    </row>
    <row r="258">
      <c r="A258" s="27" t="s">
        <v>974</v>
      </c>
      <c r="B258" s="27" t="s">
        <v>1417</v>
      </c>
      <c r="C258" s="37">
        <v>7.194539773E9</v>
      </c>
      <c r="D258" s="38" t="s">
        <v>1418</v>
      </c>
      <c r="E258" s="27">
        <v>2025.0</v>
      </c>
      <c r="F258" s="23" t="s">
        <v>1154</v>
      </c>
      <c r="G258" s="33" t="s">
        <v>50</v>
      </c>
      <c r="H258" s="38" t="s">
        <v>1419</v>
      </c>
      <c r="I258" s="38" t="s">
        <v>1420</v>
      </c>
    </row>
    <row r="259">
      <c r="A259" s="27" t="s">
        <v>1421</v>
      </c>
      <c r="B259" s="27" t="s">
        <v>1422</v>
      </c>
      <c r="C259" s="15" t="s">
        <v>1423</v>
      </c>
      <c r="D259" s="27"/>
      <c r="E259" s="27">
        <v>2025.0</v>
      </c>
      <c r="F259" s="23" t="s">
        <v>1372</v>
      </c>
      <c r="G259" s="33" t="s">
        <v>937</v>
      </c>
      <c r="H259" s="23" t="s">
        <v>298</v>
      </c>
      <c r="I259" s="23" t="s">
        <v>1424</v>
      </c>
    </row>
    <row r="260">
      <c r="A260" s="27" t="s">
        <v>1425</v>
      </c>
      <c r="B260" s="27" t="s">
        <v>1426</v>
      </c>
      <c r="C260" s="37" t="s">
        <v>1427</v>
      </c>
      <c r="D260" s="38" t="s">
        <v>1428</v>
      </c>
      <c r="E260" s="27">
        <v>2025.0</v>
      </c>
      <c r="F260" s="23" t="s">
        <v>1160</v>
      </c>
      <c r="G260" s="33" t="s">
        <v>937</v>
      </c>
      <c r="H260" s="23" t="s">
        <v>1131</v>
      </c>
      <c r="I260" s="38" t="s">
        <v>1429</v>
      </c>
    </row>
    <row r="261">
      <c r="A261" s="27" t="s">
        <v>1430</v>
      </c>
      <c r="B261" s="27" t="s">
        <v>1431</v>
      </c>
      <c r="C261" s="15" t="s">
        <v>1432</v>
      </c>
      <c r="D261" s="27"/>
      <c r="E261" s="27">
        <v>2025.0</v>
      </c>
      <c r="F261" s="23" t="s">
        <v>1372</v>
      </c>
      <c r="G261" s="33" t="s">
        <v>50</v>
      </c>
      <c r="H261" s="23" t="s">
        <v>643</v>
      </c>
      <c r="I261" s="41"/>
    </row>
    <row r="262">
      <c r="A262" s="27" t="s">
        <v>1433</v>
      </c>
      <c r="B262" s="27" t="s">
        <v>1434</v>
      </c>
      <c r="C262" s="15" t="s">
        <v>1435</v>
      </c>
      <c r="D262" s="27"/>
      <c r="E262" s="27">
        <v>2025.0</v>
      </c>
      <c r="F262" s="23" t="s">
        <v>1372</v>
      </c>
      <c r="G262" s="33" t="s">
        <v>14</v>
      </c>
      <c r="H262" s="23" t="s">
        <v>643</v>
      </c>
      <c r="I262" s="23"/>
    </row>
    <row r="263">
      <c r="A263" s="27" t="s">
        <v>1436</v>
      </c>
      <c r="B263" s="27" t="s">
        <v>1437</v>
      </c>
      <c r="C263" s="17"/>
      <c r="D263" s="27"/>
      <c r="E263" s="27">
        <v>2025.0</v>
      </c>
      <c r="F263" s="23" t="s">
        <v>1316</v>
      </c>
      <c r="G263" s="33" t="s">
        <v>14</v>
      </c>
      <c r="H263" s="23" t="s">
        <v>1438</v>
      </c>
      <c r="I263" s="23" t="s">
        <v>934</v>
      </c>
    </row>
    <row r="264">
      <c r="A264" s="27" t="s">
        <v>930</v>
      </c>
      <c r="B264" s="27" t="s">
        <v>1439</v>
      </c>
      <c r="C264" s="17"/>
      <c r="D264" s="27"/>
      <c r="E264" s="27">
        <v>2025.0</v>
      </c>
      <c r="F264" s="23" t="s">
        <v>1316</v>
      </c>
      <c r="G264" s="33" t="s">
        <v>1440</v>
      </c>
      <c r="H264" s="23" t="s">
        <v>643</v>
      </c>
      <c r="I264" s="41"/>
    </row>
    <row r="265">
      <c r="A265" s="27" t="s">
        <v>1441</v>
      </c>
      <c r="B265" s="27" t="s">
        <v>1442</v>
      </c>
      <c r="C265" s="17"/>
      <c r="D265" s="23" t="s">
        <v>1443</v>
      </c>
      <c r="E265" s="27">
        <v>2025.0</v>
      </c>
      <c r="F265" s="23" t="s">
        <v>1160</v>
      </c>
      <c r="G265" s="33" t="s">
        <v>43</v>
      </c>
      <c r="H265" s="23" t="s">
        <v>1029</v>
      </c>
      <c r="I265" s="23" t="s">
        <v>1444</v>
      </c>
    </row>
    <row r="266">
      <c r="A266" s="41"/>
      <c r="B266" s="41"/>
      <c r="C266" s="9"/>
      <c r="D266" s="41"/>
      <c r="F266" s="41"/>
      <c r="G266" s="42"/>
      <c r="H266" s="41"/>
      <c r="I266" s="41"/>
    </row>
    <row r="267">
      <c r="A267" s="41"/>
      <c r="B267" s="23"/>
      <c r="C267" s="9"/>
      <c r="D267" s="23"/>
      <c r="F267" s="41"/>
      <c r="G267" s="42"/>
      <c r="H267" s="41"/>
      <c r="I267" s="41"/>
    </row>
    <row r="268">
      <c r="A268" s="41"/>
      <c r="B268" s="41"/>
      <c r="C268" s="9"/>
      <c r="D268" s="41"/>
      <c r="F268" s="41"/>
      <c r="G268" s="42"/>
      <c r="H268" s="41"/>
      <c r="I268" s="41"/>
    </row>
    <row r="269">
      <c r="A269" s="41"/>
      <c r="B269" s="41"/>
      <c r="C269" s="9"/>
      <c r="D269" s="41"/>
      <c r="F269" s="41"/>
      <c r="G269" s="42"/>
      <c r="H269" s="41"/>
      <c r="I269" s="41"/>
    </row>
    <row r="270">
      <c r="A270" s="41"/>
      <c r="B270" s="41"/>
      <c r="C270" s="9"/>
      <c r="D270" s="41"/>
      <c r="F270" s="41"/>
      <c r="G270" s="42"/>
      <c r="H270" s="41"/>
      <c r="I270" s="41"/>
    </row>
    <row r="271">
      <c r="A271" s="41"/>
      <c r="B271" s="41"/>
      <c r="C271" s="9"/>
      <c r="D271" s="41"/>
      <c r="F271" s="41"/>
      <c r="G271" s="42"/>
      <c r="H271" s="41"/>
      <c r="I271" s="41"/>
    </row>
    <row r="272">
      <c r="A272" s="41"/>
      <c r="B272" s="41"/>
      <c r="C272" s="9"/>
      <c r="D272" s="41"/>
      <c r="F272" s="41"/>
      <c r="G272" s="42"/>
      <c r="H272" s="41"/>
      <c r="I272" s="41"/>
    </row>
    <row r="273">
      <c r="A273" s="41"/>
      <c r="B273" s="41"/>
      <c r="C273" s="9"/>
      <c r="D273" s="41"/>
      <c r="F273" s="41"/>
      <c r="G273" s="42"/>
      <c r="H273" s="41"/>
      <c r="I273" s="41"/>
    </row>
    <row r="274">
      <c r="A274" s="41"/>
      <c r="B274" s="41"/>
      <c r="C274" s="9"/>
      <c r="D274" s="41"/>
      <c r="F274" s="41"/>
      <c r="G274" s="42"/>
      <c r="H274" s="41"/>
      <c r="I274" s="41"/>
    </row>
    <row r="275">
      <c r="A275" s="41"/>
      <c r="B275" s="41"/>
      <c r="C275" s="9"/>
      <c r="D275" s="41"/>
      <c r="F275" s="41"/>
      <c r="G275" s="42"/>
      <c r="H275" s="41"/>
      <c r="I275" s="41"/>
    </row>
    <row r="276">
      <c r="A276" s="41"/>
      <c r="B276" s="41"/>
      <c r="C276" s="9"/>
      <c r="D276" s="41"/>
      <c r="F276" s="41"/>
      <c r="G276" s="42"/>
      <c r="H276" s="41"/>
      <c r="I276" s="41"/>
    </row>
    <row r="277">
      <c r="A277" s="41"/>
      <c r="B277" s="41"/>
      <c r="C277" s="9"/>
      <c r="D277" s="41"/>
      <c r="F277" s="41"/>
      <c r="G277" s="42"/>
      <c r="H277" s="41"/>
      <c r="I277" s="41"/>
    </row>
    <row r="278">
      <c r="A278" s="41"/>
      <c r="B278" s="41"/>
      <c r="C278" s="9"/>
      <c r="D278" s="41"/>
      <c r="F278" s="41"/>
      <c r="G278" s="42"/>
      <c r="H278" s="41"/>
      <c r="I278" s="41"/>
    </row>
    <row r="279">
      <c r="A279" s="41"/>
      <c r="B279" s="41"/>
      <c r="C279" s="9"/>
      <c r="D279" s="41"/>
      <c r="F279" s="41"/>
      <c r="G279" s="42"/>
      <c r="H279" s="41"/>
      <c r="I279" s="41"/>
    </row>
    <row r="280">
      <c r="A280" s="41"/>
      <c r="B280" s="41"/>
      <c r="C280" s="9"/>
      <c r="D280" s="41"/>
      <c r="F280" s="41"/>
      <c r="G280" s="42"/>
      <c r="H280" s="41"/>
      <c r="I280" s="41"/>
    </row>
    <row r="281">
      <c r="A281" s="41"/>
      <c r="B281" s="41"/>
      <c r="C281" s="9"/>
      <c r="D281" s="41"/>
      <c r="F281" s="41"/>
      <c r="G281" s="33"/>
      <c r="H281" s="41"/>
      <c r="I281" s="41"/>
    </row>
    <row r="282">
      <c r="A282" s="41"/>
      <c r="B282" s="41"/>
      <c r="C282" s="9"/>
      <c r="D282" s="41"/>
      <c r="F282" s="41"/>
      <c r="G282" s="42"/>
      <c r="H282" s="41"/>
      <c r="I282" s="41"/>
    </row>
    <row r="283">
      <c r="A283" s="41"/>
      <c r="B283" s="41"/>
      <c r="C283" s="9"/>
      <c r="D283" s="41"/>
      <c r="F283" s="41"/>
      <c r="G283" s="42"/>
      <c r="H283" s="41"/>
      <c r="I283" s="41"/>
    </row>
    <row r="284">
      <c r="A284" s="41"/>
      <c r="B284" s="41"/>
      <c r="C284" s="9"/>
      <c r="D284" s="41"/>
      <c r="F284" s="41"/>
      <c r="G284" s="42"/>
      <c r="H284" s="41"/>
      <c r="I284" s="41"/>
    </row>
    <row r="285">
      <c r="A285" s="41"/>
      <c r="B285" s="41"/>
      <c r="C285" s="9"/>
      <c r="D285" s="41"/>
      <c r="F285" s="41"/>
      <c r="G285" s="42"/>
      <c r="H285" s="41"/>
      <c r="I285" s="41"/>
    </row>
    <row r="286">
      <c r="A286" s="41"/>
      <c r="B286" s="41"/>
      <c r="C286" s="9"/>
      <c r="D286" s="41"/>
      <c r="F286" s="41"/>
      <c r="G286" s="42"/>
      <c r="H286" s="41"/>
      <c r="I286" s="41"/>
    </row>
    <row r="287">
      <c r="A287" s="41"/>
      <c r="B287" s="41"/>
      <c r="C287" s="9"/>
      <c r="D287" s="41"/>
      <c r="F287" s="41"/>
      <c r="G287" s="42"/>
      <c r="H287" s="41"/>
      <c r="I287" s="41"/>
    </row>
    <row r="288">
      <c r="A288" s="41"/>
      <c r="B288" s="41"/>
      <c r="C288" s="9"/>
      <c r="D288" s="41"/>
      <c r="F288" s="41"/>
      <c r="G288" s="42"/>
      <c r="H288" s="41"/>
      <c r="I288" s="41"/>
    </row>
    <row r="289">
      <c r="A289" s="41"/>
      <c r="B289" s="41"/>
      <c r="C289" s="9"/>
      <c r="D289" s="41"/>
      <c r="F289" s="41"/>
      <c r="G289" s="42"/>
      <c r="H289" s="41"/>
      <c r="I289" s="41"/>
    </row>
    <row r="290">
      <c r="A290" s="41"/>
      <c r="B290" s="41"/>
      <c r="C290" s="9"/>
      <c r="D290" s="41"/>
      <c r="F290" s="41"/>
      <c r="G290" s="42"/>
      <c r="H290" s="41"/>
      <c r="I290" s="41"/>
    </row>
    <row r="291">
      <c r="A291" s="41"/>
      <c r="B291" s="41"/>
      <c r="C291" s="9"/>
      <c r="D291" s="41"/>
      <c r="F291" s="41"/>
      <c r="G291" s="42"/>
      <c r="H291" s="41"/>
      <c r="I291" s="41"/>
    </row>
    <row r="292">
      <c r="A292" s="41"/>
      <c r="B292" s="41"/>
      <c r="C292" s="9"/>
      <c r="D292" s="41"/>
      <c r="F292" s="41"/>
      <c r="G292" s="42"/>
      <c r="H292" s="41"/>
      <c r="I292" s="41"/>
    </row>
    <row r="293">
      <c r="A293" s="41"/>
      <c r="B293" s="41"/>
      <c r="C293" s="9"/>
      <c r="D293" s="41"/>
      <c r="F293" s="41"/>
      <c r="G293" s="42"/>
      <c r="H293" s="41"/>
      <c r="I293" s="41"/>
    </row>
    <row r="294">
      <c r="A294" s="41"/>
      <c r="B294" s="41"/>
      <c r="C294" s="9"/>
      <c r="D294" s="41"/>
      <c r="F294" s="41"/>
      <c r="G294" s="42"/>
      <c r="H294" s="41"/>
      <c r="I294" s="41"/>
    </row>
    <row r="295">
      <c r="A295" s="41"/>
      <c r="B295" s="41"/>
      <c r="C295" s="9"/>
      <c r="D295" s="41"/>
      <c r="F295" s="41"/>
      <c r="G295" s="42"/>
      <c r="H295" s="41"/>
      <c r="I295" s="41"/>
    </row>
    <row r="296">
      <c r="A296" s="41"/>
      <c r="B296" s="41"/>
      <c r="C296" s="9"/>
      <c r="D296" s="41"/>
      <c r="F296" s="41"/>
      <c r="G296" s="42"/>
      <c r="H296" s="41"/>
      <c r="I296" s="41"/>
    </row>
    <row r="297">
      <c r="A297" s="41"/>
      <c r="B297" s="41"/>
      <c r="C297" s="9"/>
      <c r="D297" s="41"/>
      <c r="F297" s="41"/>
      <c r="G297" s="42"/>
      <c r="H297" s="41"/>
      <c r="I297" s="41"/>
    </row>
    <row r="298">
      <c r="A298" s="41"/>
      <c r="B298" s="41"/>
      <c r="C298" s="9"/>
      <c r="D298" s="41"/>
      <c r="F298" s="41"/>
      <c r="G298" s="42"/>
      <c r="H298" s="41"/>
      <c r="I298" s="41"/>
    </row>
    <row r="299">
      <c r="A299" s="41"/>
      <c r="B299" s="41"/>
      <c r="C299" s="9"/>
      <c r="D299" s="41"/>
      <c r="F299" s="41"/>
      <c r="G299" s="42"/>
      <c r="H299" s="41"/>
      <c r="I299" s="41"/>
    </row>
    <row r="300">
      <c r="A300" s="41"/>
      <c r="B300" s="41"/>
      <c r="C300" s="9"/>
      <c r="D300" s="41"/>
      <c r="F300" s="41"/>
      <c r="G300" s="42"/>
      <c r="H300" s="41"/>
      <c r="I300" s="41"/>
    </row>
    <row r="301">
      <c r="A301" s="41"/>
      <c r="B301" s="41"/>
      <c r="C301" s="9"/>
      <c r="D301" s="41"/>
      <c r="F301" s="41"/>
      <c r="G301" s="42"/>
      <c r="H301" s="41"/>
      <c r="I301" s="41"/>
    </row>
    <row r="302">
      <c r="A302" s="41"/>
      <c r="B302" s="41"/>
      <c r="C302" s="9"/>
      <c r="D302" s="41"/>
      <c r="F302" s="41"/>
      <c r="G302" s="42"/>
      <c r="H302" s="41"/>
      <c r="I302" s="41"/>
    </row>
    <row r="303">
      <c r="A303" s="41"/>
      <c r="B303" s="41"/>
      <c r="C303" s="9"/>
      <c r="D303" s="41"/>
      <c r="F303" s="41"/>
      <c r="G303" s="42"/>
      <c r="H303" s="41"/>
      <c r="I303" s="41"/>
    </row>
    <row r="304">
      <c r="A304" s="41"/>
      <c r="B304" s="41"/>
      <c r="C304" s="9"/>
      <c r="D304" s="41"/>
      <c r="F304" s="41"/>
      <c r="G304" s="42"/>
      <c r="H304" s="41"/>
      <c r="I304" s="41"/>
    </row>
    <row r="305">
      <c r="A305" s="41"/>
      <c r="B305" s="41"/>
      <c r="C305" s="9"/>
      <c r="D305" s="41"/>
      <c r="F305" s="41"/>
      <c r="G305" s="42"/>
      <c r="H305" s="41"/>
      <c r="I305" s="41"/>
    </row>
    <row r="306">
      <c r="A306" s="41"/>
      <c r="B306" s="41"/>
      <c r="C306" s="9"/>
      <c r="D306" s="41"/>
      <c r="F306" s="41"/>
      <c r="G306" s="42"/>
      <c r="H306" s="41"/>
      <c r="I306" s="41"/>
    </row>
    <row r="307">
      <c r="A307" s="41"/>
      <c r="B307" s="41"/>
      <c r="C307" s="9"/>
      <c r="D307" s="41"/>
      <c r="F307" s="41"/>
      <c r="G307" s="42"/>
      <c r="H307" s="41"/>
      <c r="I307" s="41"/>
    </row>
    <row r="308">
      <c r="A308" s="41"/>
      <c r="B308" s="41"/>
      <c r="C308" s="9"/>
      <c r="D308" s="41"/>
      <c r="F308" s="41"/>
      <c r="G308" s="42"/>
      <c r="H308" s="41"/>
      <c r="I308" s="41"/>
    </row>
    <row r="309">
      <c r="A309" s="41"/>
      <c r="B309" s="41"/>
      <c r="C309" s="9"/>
      <c r="D309" s="41"/>
      <c r="F309" s="41"/>
      <c r="G309" s="42"/>
      <c r="H309" s="41"/>
      <c r="I309" s="41"/>
    </row>
    <row r="310">
      <c r="A310" s="41"/>
      <c r="B310" s="41"/>
      <c r="C310" s="9"/>
      <c r="D310" s="41"/>
      <c r="F310" s="41"/>
      <c r="G310" s="42"/>
      <c r="H310" s="41"/>
      <c r="I310" s="41"/>
    </row>
    <row r="311">
      <c r="A311" s="41"/>
      <c r="B311" s="41"/>
      <c r="C311" s="9"/>
      <c r="D311" s="41"/>
      <c r="F311" s="41"/>
      <c r="G311" s="42"/>
      <c r="H311" s="41"/>
      <c r="I311" s="41"/>
    </row>
    <row r="312">
      <c r="A312" s="41"/>
      <c r="B312" s="41"/>
      <c r="C312" s="9"/>
      <c r="D312" s="41"/>
      <c r="F312" s="41"/>
      <c r="G312" s="42"/>
      <c r="H312" s="41"/>
      <c r="I312" s="41"/>
    </row>
    <row r="313">
      <c r="A313" s="41"/>
      <c r="B313" s="41"/>
      <c r="C313" s="9"/>
      <c r="D313" s="41"/>
      <c r="F313" s="41"/>
      <c r="G313" s="42"/>
      <c r="H313" s="41"/>
      <c r="I313" s="41"/>
    </row>
    <row r="314">
      <c r="A314" s="41"/>
      <c r="B314" s="41"/>
      <c r="C314" s="9"/>
      <c r="D314" s="41"/>
      <c r="F314" s="41"/>
      <c r="G314" s="42"/>
      <c r="H314" s="41"/>
      <c r="I314" s="41"/>
    </row>
    <row r="315">
      <c r="A315" s="41"/>
      <c r="B315" s="41"/>
      <c r="C315" s="9"/>
      <c r="D315" s="41"/>
      <c r="F315" s="41"/>
      <c r="G315" s="42"/>
      <c r="H315" s="41"/>
      <c r="I315" s="41"/>
    </row>
    <row r="316">
      <c r="A316" s="41"/>
      <c r="B316" s="41"/>
      <c r="C316" s="9"/>
      <c r="D316" s="41"/>
      <c r="F316" s="41"/>
      <c r="G316" s="42"/>
      <c r="H316" s="41"/>
      <c r="I316" s="41"/>
    </row>
    <row r="317">
      <c r="A317" s="41"/>
      <c r="B317" s="41"/>
      <c r="C317" s="9"/>
      <c r="D317" s="41"/>
      <c r="F317" s="41"/>
      <c r="G317" s="42"/>
      <c r="H317" s="41"/>
      <c r="I317" s="41"/>
    </row>
    <row r="318">
      <c r="A318" s="41"/>
      <c r="B318" s="41"/>
      <c r="C318" s="9"/>
      <c r="D318" s="41"/>
      <c r="F318" s="41"/>
      <c r="G318" s="42"/>
      <c r="H318" s="41"/>
      <c r="I318" s="41"/>
    </row>
    <row r="319">
      <c r="A319" s="41"/>
      <c r="B319" s="41"/>
      <c r="C319" s="9"/>
      <c r="D319" s="41"/>
      <c r="F319" s="41"/>
      <c r="G319" s="42"/>
      <c r="H319" s="41"/>
      <c r="I319" s="41"/>
    </row>
    <row r="320">
      <c r="A320" s="41"/>
      <c r="B320" s="41"/>
      <c r="C320" s="9"/>
      <c r="D320" s="41"/>
      <c r="F320" s="41"/>
      <c r="G320" s="42"/>
      <c r="H320" s="41"/>
      <c r="I320" s="41"/>
    </row>
    <row r="321">
      <c r="A321" s="41"/>
      <c r="B321" s="41"/>
      <c r="C321" s="9"/>
      <c r="D321" s="41"/>
      <c r="F321" s="41"/>
      <c r="G321" s="42"/>
      <c r="H321" s="41"/>
      <c r="I321" s="41"/>
    </row>
    <row r="322">
      <c r="A322" s="41"/>
      <c r="B322" s="41"/>
      <c r="C322" s="9"/>
      <c r="D322" s="41"/>
      <c r="F322" s="41"/>
      <c r="G322" s="42"/>
      <c r="H322" s="41"/>
      <c r="I322" s="41"/>
    </row>
    <row r="323">
      <c r="A323" s="41"/>
      <c r="B323" s="41"/>
      <c r="C323" s="9"/>
      <c r="D323" s="41"/>
      <c r="F323" s="41"/>
      <c r="G323" s="42"/>
      <c r="H323" s="41"/>
      <c r="I323" s="41"/>
    </row>
    <row r="324">
      <c r="A324" s="41"/>
      <c r="B324" s="41"/>
      <c r="C324" s="9"/>
      <c r="D324" s="41"/>
      <c r="F324" s="41"/>
      <c r="G324" s="42"/>
      <c r="H324" s="41"/>
      <c r="I324" s="41"/>
    </row>
    <row r="325">
      <c r="A325" s="41"/>
      <c r="B325" s="41"/>
      <c r="C325" s="9"/>
      <c r="D325" s="41"/>
      <c r="F325" s="41"/>
      <c r="G325" s="42"/>
      <c r="H325" s="41"/>
      <c r="I325" s="41"/>
    </row>
    <row r="326">
      <c r="A326" s="41"/>
      <c r="B326" s="41"/>
      <c r="C326" s="9"/>
      <c r="D326" s="41"/>
      <c r="F326" s="41"/>
      <c r="G326" s="42"/>
      <c r="H326" s="41"/>
      <c r="I326" s="41"/>
    </row>
    <row r="327">
      <c r="A327" s="41"/>
      <c r="B327" s="41"/>
      <c r="C327" s="9"/>
      <c r="D327" s="41"/>
      <c r="F327" s="41"/>
      <c r="G327" s="42"/>
      <c r="H327" s="41"/>
      <c r="I327" s="41"/>
    </row>
    <row r="328">
      <c r="A328" s="41"/>
      <c r="B328" s="41"/>
      <c r="C328" s="9"/>
      <c r="D328" s="41"/>
      <c r="F328" s="41"/>
      <c r="G328" s="42"/>
      <c r="H328" s="41"/>
      <c r="I328" s="41"/>
    </row>
    <row r="329">
      <c r="A329" s="41"/>
      <c r="B329" s="41"/>
      <c r="C329" s="9"/>
      <c r="D329" s="41"/>
      <c r="F329" s="41"/>
      <c r="G329" s="42"/>
      <c r="H329" s="41"/>
      <c r="I329" s="41"/>
    </row>
    <row r="330">
      <c r="A330" s="41"/>
      <c r="B330" s="41"/>
      <c r="C330" s="9"/>
      <c r="D330" s="41"/>
      <c r="F330" s="41"/>
      <c r="G330" s="42"/>
      <c r="H330" s="41"/>
      <c r="I330" s="41"/>
    </row>
    <row r="331">
      <c r="A331" s="41"/>
      <c r="B331" s="41"/>
      <c r="C331" s="9"/>
      <c r="D331" s="41"/>
      <c r="F331" s="41"/>
      <c r="G331" s="42"/>
      <c r="H331" s="41"/>
      <c r="I331" s="41"/>
    </row>
    <row r="332">
      <c r="A332" s="41"/>
      <c r="B332" s="41"/>
      <c r="C332" s="9"/>
      <c r="D332" s="41"/>
      <c r="F332" s="41"/>
      <c r="G332" s="42"/>
      <c r="H332" s="41"/>
      <c r="I332" s="41"/>
    </row>
    <row r="333">
      <c r="A333" s="41"/>
      <c r="B333" s="41"/>
      <c r="C333" s="9"/>
      <c r="D333" s="41"/>
      <c r="F333" s="41"/>
      <c r="G333" s="42"/>
      <c r="H333" s="41"/>
      <c r="I333" s="41"/>
    </row>
    <row r="334">
      <c r="A334" s="41"/>
      <c r="B334" s="41"/>
      <c r="C334" s="9"/>
      <c r="D334" s="41"/>
      <c r="F334" s="41"/>
      <c r="G334" s="42"/>
      <c r="H334" s="41"/>
      <c r="I334" s="41"/>
    </row>
    <row r="335">
      <c r="A335" s="41"/>
      <c r="B335" s="41"/>
      <c r="C335" s="9"/>
      <c r="D335" s="41"/>
      <c r="F335" s="41"/>
      <c r="G335" s="42"/>
      <c r="H335" s="41"/>
      <c r="I335" s="41"/>
    </row>
    <row r="336">
      <c r="A336" s="41"/>
      <c r="B336" s="41"/>
      <c r="C336" s="9"/>
      <c r="D336" s="41"/>
      <c r="F336" s="41"/>
      <c r="G336" s="42"/>
      <c r="H336" s="41"/>
      <c r="I336" s="41"/>
    </row>
    <row r="337">
      <c r="A337" s="41"/>
      <c r="B337" s="41"/>
      <c r="C337" s="9"/>
      <c r="D337" s="41"/>
      <c r="F337" s="41"/>
      <c r="G337" s="42"/>
      <c r="H337" s="41"/>
      <c r="I337" s="41"/>
    </row>
    <row r="338">
      <c r="A338" s="41"/>
      <c r="B338" s="41"/>
      <c r="C338" s="9"/>
      <c r="D338" s="41"/>
      <c r="F338" s="41"/>
      <c r="G338" s="42"/>
      <c r="H338" s="41"/>
      <c r="I338" s="41"/>
    </row>
    <row r="339">
      <c r="A339" s="41"/>
      <c r="B339" s="41"/>
      <c r="C339" s="9"/>
      <c r="D339" s="41"/>
      <c r="F339" s="41"/>
      <c r="G339" s="42"/>
      <c r="H339" s="41"/>
      <c r="I339" s="41"/>
    </row>
    <row r="340">
      <c r="A340" s="41"/>
      <c r="B340" s="41"/>
      <c r="C340" s="9"/>
      <c r="D340" s="41"/>
      <c r="F340" s="41"/>
      <c r="G340" s="42"/>
      <c r="H340" s="41"/>
      <c r="I340" s="41"/>
    </row>
    <row r="341">
      <c r="A341" s="41"/>
      <c r="B341" s="41"/>
      <c r="C341" s="9"/>
      <c r="D341" s="41"/>
      <c r="F341" s="41"/>
      <c r="G341" s="42"/>
      <c r="H341" s="41"/>
      <c r="I341" s="41"/>
    </row>
    <row r="342">
      <c r="A342" s="41"/>
      <c r="B342" s="41"/>
      <c r="C342" s="9"/>
      <c r="D342" s="41"/>
      <c r="F342" s="41"/>
      <c r="G342" s="42"/>
      <c r="H342" s="41"/>
      <c r="I342" s="41"/>
    </row>
    <row r="343">
      <c r="A343" s="41"/>
      <c r="B343" s="41"/>
      <c r="C343" s="9"/>
      <c r="D343" s="41"/>
      <c r="F343" s="41"/>
      <c r="G343" s="42"/>
      <c r="H343" s="41"/>
      <c r="I343" s="41"/>
    </row>
    <row r="344">
      <c r="A344" s="41"/>
      <c r="B344" s="41"/>
      <c r="C344" s="9"/>
      <c r="D344" s="41"/>
      <c r="F344" s="41"/>
      <c r="G344" s="42"/>
      <c r="H344" s="41"/>
      <c r="I344" s="41"/>
    </row>
    <row r="345">
      <c r="A345" s="41"/>
      <c r="B345" s="41"/>
      <c r="C345" s="9"/>
      <c r="D345" s="41"/>
      <c r="F345" s="41"/>
      <c r="G345" s="42"/>
      <c r="H345" s="41"/>
      <c r="I345" s="41"/>
    </row>
    <row r="346">
      <c r="A346" s="41"/>
      <c r="B346" s="41"/>
      <c r="C346" s="9"/>
      <c r="D346" s="41"/>
      <c r="F346" s="41"/>
      <c r="G346" s="42"/>
      <c r="H346" s="41"/>
      <c r="I346" s="41"/>
    </row>
    <row r="347">
      <c r="A347" s="41"/>
      <c r="B347" s="41"/>
      <c r="C347" s="9"/>
      <c r="D347" s="41"/>
      <c r="F347" s="41"/>
      <c r="G347" s="42"/>
      <c r="H347" s="41"/>
      <c r="I347" s="41"/>
    </row>
    <row r="348">
      <c r="A348" s="41"/>
      <c r="B348" s="41"/>
      <c r="C348" s="9"/>
      <c r="D348" s="41"/>
      <c r="F348" s="41"/>
      <c r="G348" s="42"/>
      <c r="H348" s="41"/>
      <c r="I348" s="41"/>
    </row>
    <row r="349">
      <c r="A349" s="41"/>
      <c r="B349" s="41"/>
      <c r="C349" s="9"/>
      <c r="D349" s="41"/>
      <c r="F349" s="41"/>
      <c r="G349" s="42"/>
      <c r="H349" s="41"/>
      <c r="I349" s="41"/>
    </row>
    <row r="350">
      <c r="A350" s="23"/>
      <c r="B350" s="41"/>
      <c r="C350" s="9"/>
      <c r="D350" s="41"/>
      <c r="F350" s="41"/>
      <c r="G350" s="42"/>
      <c r="H350" s="41"/>
      <c r="I350" s="41"/>
    </row>
    <row r="351">
      <c r="A351" s="23"/>
      <c r="B351" s="41"/>
      <c r="C351" s="9"/>
      <c r="D351" s="41"/>
      <c r="F351" s="41"/>
      <c r="G351" s="42"/>
      <c r="H351" s="41"/>
      <c r="I351" s="41"/>
    </row>
    <row r="352">
      <c r="A352" s="23"/>
      <c r="B352" s="41"/>
      <c r="C352" s="9"/>
      <c r="D352" s="41"/>
      <c r="F352" s="41"/>
      <c r="G352" s="42"/>
      <c r="H352" s="41"/>
      <c r="I352" s="41"/>
    </row>
    <row r="353">
      <c r="A353" s="23"/>
      <c r="B353" s="41"/>
      <c r="C353" s="9"/>
      <c r="D353" s="41"/>
      <c r="F353" s="41"/>
      <c r="G353" s="42"/>
      <c r="H353" s="41"/>
      <c r="I353" s="41"/>
    </row>
    <row r="354">
      <c r="A354" s="23"/>
      <c r="B354" s="41"/>
      <c r="C354" s="9"/>
      <c r="D354" s="41"/>
      <c r="F354" s="41"/>
      <c r="G354" s="42"/>
      <c r="H354" s="41"/>
      <c r="I354" s="41"/>
    </row>
    <row r="355">
      <c r="A355" s="23"/>
      <c r="B355" s="41"/>
      <c r="C355" s="9"/>
      <c r="D355" s="41"/>
      <c r="F355" s="41"/>
      <c r="G355" s="42"/>
      <c r="H355" s="41"/>
      <c r="I355" s="41"/>
    </row>
    <row r="356">
      <c r="A356" s="23"/>
      <c r="B356" s="41"/>
      <c r="C356" s="9"/>
      <c r="D356" s="41"/>
      <c r="F356" s="41"/>
      <c r="G356" s="42"/>
      <c r="H356" s="41"/>
      <c r="I356" s="41"/>
    </row>
    <row r="357">
      <c r="A357" s="23"/>
      <c r="B357" s="41"/>
      <c r="C357" s="9"/>
      <c r="D357" s="41"/>
      <c r="F357" s="41"/>
      <c r="G357" s="42"/>
      <c r="H357" s="41"/>
      <c r="I357" s="41"/>
    </row>
    <row r="358">
      <c r="A358" s="23"/>
      <c r="B358" s="41"/>
      <c r="C358" s="9"/>
      <c r="D358" s="41"/>
      <c r="F358" s="41"/>
      <c r="G358" s="42"/>
      <c r="H358" s="41"/>
      <c r="I358" s="41"/>
    </row>
    <row r="359">
      <c r="A359" s="23"/>
      <c r="B359" s="41"/>
      <c r="C359" s="9"/>
      <c r="D359" s="41"/>
      <c r="F359" s="41"/>
      <c r="G359" s="42"/>
      <c r="H359" s="41"/>
      <c r="I359" s="41"/>
    </row>
    <row r="360">
      <c r="A360" s="23"/>
      <c r="B360" s="41"/>
      <c r="C360" s="9"/>
      <c r="D360" s="41"/>
      <c r="F360" s="41"/>
      <c r="G360" s="42"/>
      <c r="H360" s="41"/>
      <c r="I360" s="41"/>
    </row>
    <row r="361">
      <c r="A361" s="23"/>
      <c r="B361" s="41"/>
      <c r="C361" s="9"/>
      <c r="D361" s="41"/>
      <c r="F361" s="41"/>
      <c r="G361" s="42"/>
      <c r="H361" s="41"/>
      <c r="I361" s="41"/>
    </row>
    <row r="362">
      <c r="A362" s="23"/>
      <c r="B362" s="41"/>
      <c r="C362" s="9"/>
      <c r="D362" s="41"/>
      <c r="F362" s="41"/>
      <c r="G362" s="42"/>
      <c r="H362" s="41"/>
      <c r="I362" s="41"/>
    </row>
    <row r="363">
      <c r="A363" s="23"/>
      <c r="B363" s="41"/>
      <c r="C363" s="9"/>
      <c r="D363" s="41"/>
      <c r="F363" s="41"/>
      <c r="G363" s="42"/>
      <c r="H363" s="41"/>
      <c r="I363" s="41"/>
    </row>
    <row r="364">
      <c r="A364" s="23"/>
      <c r="B364" s="41"/>
      <c r="C364" s="9"/>
      <c r="D364" s="41"/>
      <c r="F364" s="41"/>
      <c r="G364" s="42"/>
      <c r="H364" s="41"/>
      <c r="I364" s="41"/>
    </row>
    <row r="365">
      <c r="A365" s="23"/>
      <c r="B365" s="41"/>
      <c r="C365" s="9"/>
      <c r="D365" s="41"/>
      <c r="F365" s="41"/>
      <c r="G365" s="42"/>
      <c r="H365" s="41"/>
      <c r="I365" s="41"/>
    </row>
    <row r="366">
      <c r="A366" s="23"/>
      <c r="B366" s="41"/>
      <c r="C366" s="9"/>
      <c r="D366" s="41"/>
      <c r="F366" s="41"/>
      <c r="G366" s="42"/>
      <c r="H366" s="41"/>
      <c r="I366" s="41"/>
    </row>
    <row r="367">
      <c r="A367" s="23"/>
      <c r="B367" s="41"/>
      <c r="C367" s="9"/>
      <c r="D367" s="41"/>
      <c r="F367" s="41"/>
      <c r="G367" s="42"/>
      <c r="H367" s="41"/>
      <c r="I367" s="41"/>
    </row>
    <row r="368">
      <c r="A368" s="23"/>
      <c r="B368" s="41"/>
      <c r="C368" s="9"/>
      <c r="D368" s="41"/>
      <c r="F368" s="41"/>
      <c r="G368" s="42"/>
      <c r="H368" s="41"/>
      <c r="I368" s="41"/>
    </row>
    <row r="369">
      <c r="A369" s="23"/>
      <c r="B369" s="41"/>
      <c r="C369" s="9"/>
      <c r="D369" s="41"/>
      <c r="F369" s="41"/>
      <c r="G369" s="42"/>
      <c r="H369" s="41"/>
      <c r="I369" s="41"/>
    </row>
    <row r="370">
      <c r="A370" s="23"/>
      <c r="B370" s="41"/>
      <c r="C370" s="9"/>
      <c r="D370" s="41"/>
      <c r="F370" s="41"/>
      <c r="G370" s="42"/>
      <c r="H370" s="41"/>
      <c r="I370" s="41"/>
    </row>
    <row r="371">
      <c r="A371" s="23"/>
      <c r="B371" s="41"/>
      <c r="C371" s="9"/>
      <c r="D371" s="41"/>
      <c r="F371" s="41"/>
      <c r="G371" s="42"/>
      <c r="H371" s="41"/>
      <c r="I371" s="41"/>
    </row>
    <row r="372">
      <c r="A372" s="23"/>
      <c r="B372" s="41"/>
      <c r="C372" s="9"/>
      <c r="D372" s="41"/>
      <c r="F372" s="41"/>
      <c r="G372" s="42"/>
      <c r="H372" s="41"/>
      <c r="I372" s="41"/>
    </row>
    <row r="373">
      <c r="A373" s="23"/>
      <c r="B373" s="41"/>
      <c r="C373" s="9"/>
      <c r="D373" s="41"/>
      <c r="F373" s="41"/>
      <c r="G373" s="42"/>
      <c r="H373" s="41"/>
      <c r="I373" s="41"/>
    </row>
    <row r="374">
      <c r="A374" s="23"/>
      <c r="B374" s="41"/>
      <c r="C374" s="9"/>
      <c r="D374" s="41"/>
      <c r="F374" s="41"/>
      <c r="G374" s="42"/>
      <c r="H374" s="41"/>
      <c r="I374" s="41"/>
    </row>
    <row r="375">
      <c r="A375" s="23"/>
      <c r="B375" s="41"/>
      <c r="C375" s="9"/>
      <c r="D375" s="41"/>
      <c r="F375" s="41"/>
      <c r="G375" s="42"/>
      <c r="H375" s="41"/>
      <c r="I375" s="41"/>
    </row>
    <row r="376">
      <c r="A376" s="23"/>
      <c r="B376" s="41"/>
      <c r="C376" s="9"/>
      <c r="D376" s="41"/>
      <c r="F376" s="41"/>
      <c r="G376" s="42"/>
      <c r="H376" s="41"/>
      <c r="I376" s="41"/>
    </row>
    <row r="377">
      <c r="A377" s="23"/>
      <c r="B377" s="41"/>
      <c r="C377" s="9"/>
      <c r="D377" s="41"/>
      <c r="F377" s="41"/>
      <c r="G377" s="42"/>
      <c r="H377" s="41"/>
      <c r="I377" s="41"/>
    </row>
    <row r="378">
      <c r="A378" s="23"/>
      <c r="B378" s="41"/>
      <c r="C378" s="9"/>
      <c r="D378" s="41"/>
      <c r="F378" s="41"/>
      <c r="G378" s="42"/>
      <c r="H378" s="41"/>
      <c r="I378" s="41"/>
    </row>
    <row r="379">
      <c r="A379" s="23"/>
      <c r="B379" s="41"/>
      <c r="C379" s="9"/>
      <c r="D379" s="41"/>
      <c r="F379" s="41"/>
      <c r="G379" s="42"/>
      <c r="H379" s="41"/>
      <c r="I379" s="41"/>
    </row>
    <row r="380">
      <c r="A380" s="23"/>
      <c r="B380" s="41"/>
      <c r="C380" s="9"/>
      <c r="D380" s="41"/>
      <c r="F380" s="41"/>
      <c r="G380" s="42"/>
      <c r="H380" s="41"/>
      <c r="I380" s="41"/>
    </row>
    <row r="381">
      <c r="A381" s="23"/>
      <c r="B381" s="41"/>
      <c r="C381" s="9"/>
      <c r="D381" s="41"/>
      <c r="F381" s="41"/>
      <c r="G381" s="42"/>
      <c r="H381" s="41"/>
      <c r="I381" s="41"/>
    </row>
    <row r="382">
      <c r="A382" s="23"/>
      <c r="B382" s="41"/>
      <c r="C382" s="9"/>
      <c r="D382" s="41"/>
      <c r="F382" s="41"/>
      <c r="G382" s="42"/>
      <c r="H382" s="41"/>
      <c r="I382" s="41"/>
    </row>
    <row r="383">
      <c r="A383" s="23"/>
      <c r="B383" s="41"/>
      <c r="C383" s="9"/>
      <c r="D383" s="41"/>
      <c r="F383" s="41"/>
      <c r="G383" s="42"/>
      <c r="H383" s="41"/>
      <c r="I383" s="41"/>
    </row>
    <row r="384">
      <c r="A384" s="23"/>
      <c r="B384" s="41"/>
      <c r="C384" s="9"/>
      <c r="D384" s="41"/>
      <c r="F384" s="41"/>
      <c r="G384" s="42"/>
      <c r="H384" s="41"/>
      <c r="I384" s="41"/>
    </row>
    <row r="385">
      <c r="A385" s="23"/>
      <c r="B385" s="41"/>
      <c r="C385" s="9"/>
      <c r="D385" s="41"/>
      <c r="F385" s="41"/>
      <c r="G385" s="42"/>
      <c r="H385" s="41"/>
      <c r="I385" s="41"/>
    </row>
    <row r="386">
      <c r="A386" s="23"/>
      <c r="B386" s="41"/>
      <c r="C386" s="9"/>
      <c r="D386" s="41"/>
      <c r="F386" s="41"/>
      <c r="G386" s="42"/>
      <c r="H386" s="41"/>
      <c r="I386" s="41"/>
    </row>
    <row r="387">
      <c r="A387" s="23"/>
      <c r="B387" s="41"/>
      <c r="C387" s="9"/>
      <c r="D387" s="41"/>
      <c r="F387" s="41"/>
      <c r="G387" s="42"/>
      <c r="H387" s="41"/>
      <c r="I387" s="41"/>
    </row>
    <row r="388">
      <c r="A388" s="23"/>
      <c r="B388" s="41"/>
      <c r="C388" s="9"/>
      <c r="D388" s="41"/>
      <c r="F388" s="41"/>
      <c r="G388" s="42"/>
      <c r="H388" s="41"/>
      <c r="I388" s="41"/>
    </row>
    <row r="389">
      <c r="A389" s="23"/>
      <c r="B389" s="41"/>
      <c r="C389" s="9"/>
      <c r="D389" s="41"/>
      <c r="F389" s="41"/>
      <c r="G389" s="42"/>
      <c r="H389" s="41"/>
      <c r="I389" s="41"/>
    </row>
    <row r="390">
      <c r="A390" s="23"/>
      <c r="B390" s="41"/>
      <c r="C390" s="9"/>
      <c r="D390" s="41"/>
      <c r="F390" s="41"/>
      <c r="G390" s="42"/>
      <c r="H390" s="41"/>
      <c r="I390" s="41"/>
    </row>
    <row r="391">
      <c r="A391" s="23"/>
      <c r="B391" s="41"/>
      <c r="C391" s="9"/>
      <c r="D391" s="41"/>
      <c r="F391" s="41"/>
      <c r="G391" s="42"/>
      <c r="H391" s="41"/>
      <c r="I391" s="41"/>
    </row>
    <row r="392">
      <c r="A392" s="23"/>
      <c r="B392" s="41"/>
      <c r="C392" s="9"/>
      <c r="D392" s="41"/>
      <c r="F392" s="41"/>
      <c r="G392" s="42"/>
      <c r="H392" s="41"/>
      <c r="I392" s="41"/>
    </row>
    <row r="393">
      <c r="A393" s="23"/>
      <c r="B393" s="41"/>
      <c r="C393" s="9"/>
      <c r="D393" s="41"/>
      <c r="F393" s="41"/>
      <c r="G393" s="42"/>
      <c r="H393" s="41"/>
      <c r="I393" s="41"/>
    </row>
    <row r="394">
      <c r="A394" s="23"/>
      <c r="B394" s="41"/>
      <c r="C394" s="9"/>
      <c r="D394" s="41"/>
      <c r="F394" s="41"/>
      <c r="G394" s="42"/>
      <c r="H394" s="41"/>
      <c r="I394" s="41"/>
    </row>
    <row r="395">
      <c r="A395" s="23"/>
      <c r="B395" s="41"/>
      <c r="C395" s="9"/>
      <c r="D395" s="41"/>
      <c r="F395" s="41"/>
      <c r="G395" s="42"/>
      <c r="H395" s="41"/>
      <c r="I395" s="41"/>
    </row>
    <row r="396">
      <c r="A396" s="23"/>
      <c r="B396" s="41"/>
      <c r="C396" s="9"/>
      <c r="D396" s="41"/>
      <c r="F396" s="41"/>
      <c r="G396" s="42"/>
      <c r="H396" s="41"/>
      <c r="I396" s="41"/>
    </row>
    <row r="397">
      <c r="A397" s="23"/>
      <c r="B397" s="41"/>
      <c r="C397" s="9"/>
      <c r="D397" s="41"/>
      <c r="F397" s="41"/>
      <c r="G397" s="42"/>
      <c r="H397" s="41"/>
      <c r="I397" s="41"/>
    </row>
    <row r="398">
      <c r="A398" s="23"/>
      <c r="B398" s="41"/>
      <c r="C398" s="9"/>
      <c r="D398" s="41"/>
      <c r="F398" s="41"/>
      <c r="G398" s="42"/>
      <c r="H398" s="41"/>
      <c r="I398" s="41"/>
    </row>
    <row r="399">
      <c r="A399" s="23"/>
      <c r="B399" s="41"/>
      <c r="C399" s="9"/>
      <c r="D399" s="41"/>
      <c r="F399" s="41"/>
      <c r="G399" s="42"/>
      <c r="H399" s="41"/>
      <c r="I399" s="41"/>
    </row>
    <row r="400">
      <c r="A400" s="23"/>
      <c r="B400" s="41"/>
      <c r="C400" s="9"/>
      <c r="D400" s="41"/>
      <c r="F400" s="41"/>
      <c r="G400" s="42"/>
      <c r="H400" s="41"/>
      <c r="I400" s="41"/>
    </row>
    <row r="401">
      <c r="A401" s="23"/>
      <c r="B401" s="41"/>
      <c r="C401" s="9"/>
      <c r="D401" s="41"/>
      <c r="F401" s="41"/>
      <c r="G401" s="42"/>
      <c r="H401" s="41"/>
      <c r="I401" s="41"/>
    </row>
    <row r="402">
      <c r="A402" s="23"/>
      <c r="B402" s="41"/>
      <c r="C402" s="9"/>
      <c r="D402" s="41"/>
      <c r="F402" s="41"/>
      <c r="G402" s="42"/>
      <c r="H402" s="41"/>
      <c r="I402" s="41"/>
    </row>
    <row r="403">
      <c r="A403" s="23"/>
      <c r="B403" s="41"/>
      <c r="C403" s="9"/>
      <c r="D403" s="41"/>
      <c r="F403" s="41"/>
      <c r="G403" s="42"/>
      <c r="H403" s="41"/>
      <c r="I403" s="41"/>
    </row>
    <row r="404">
      <c r="A404" s="23"/>
      <c r="B404" s="41"/>
      <c r="C404" s="9"/>
      <c r="D404" s="41"/>
      <c r="F404" s="41"/>
      <c r="G404" s="42"/>
      <c r="H404" s="41"/>
      <c r="I404" s="41"/>
    </row>
    <row r="405">
      <c r="A405" s="23"/>
      <c r="B405" s="41"/>
      <c r="C405" s="9"/>
      <c r="D405" s="41"/>
      <c r="F405" s="41"/>
      <c r="G405" s="42"/>
      <c r="H405" s="41"/>
      <c r="I405" s="41"/>
    </row>
    <row r="406">
      <c r="A406" s="23"/>
      <c r="B406" s="41"/>
      <c r="C406" s="9"/>
      <c r="D406" s="41"/>
      <c r="F406" s="41"/>
      <c r="G406" s="42"/>
      <c r="H406" s="41"/>
      <c r="I406" s="41"/>
    </row>
    <row r="407">
      <c r="A407" s="23"/>
      <c r="B407" s="41"/>
      <c r="C407" s="9"/>
      <c r="D407" s="41"/>
      <c r="F407" s="41"/>
      <c r="G407" s="42"/>
      <c r="H407" s="41"/>
      <c r="I407" s="41"/>
    </row>
    <row r="408">
      <c r="A408" s="23"/>
      <c r="B408" s="41"/>
      <c r="C408" s="9"/>
      <c r="D408" s="41"/>
      <c r="F408" s="41"/>
      <c r="G408" s="42"/>
      <c r="H408" s="41"/>
      <c r="I408" s="41"/>
    </row>
    <row r="409">
      <c r="A409" s="23"/>
      <c r="B409" s="41"/>
      <c r="C409" s="9"/>
      <c r="D409" s="41"/>
      <c r="F409" s="41"/>
      <c r="G409" s="42"/>
      <c r="H409" s="41"/>
      <c r="I409" s="41"/>
    </row>
    <row r="410">
      <c r="A410" s="23"/>
      <c r="B410" s="41"/>
      <c r="C410" s="9"/>
      <c r="D410" s="41"/>
      <c r="F410" s="41"/>
      <c r="G410" s="42"/>
      <c r="H410" s="41"/>
      <c r="I410" s="41"/>
    </row>
    <row r="411">
      <c r="A411" s="23"/>
      <c r="B411" s="41"/>
      <c r="C411" s="9"/>
      <c r="D411" s="41"/>
      <c r="F411" s="41"/>
      <c r="G411" s="42"/>
      <c r="H411" s="41"/>
      <c r="I411" s="41"/>
    </row>
    <row r="412">
      <c r="A412" s="23"/>
      <c r="B412" s="41"/>
      <c r="C412" s="9"/>
      <c r="D412" s="41"/>
      <c r="F412" s="41"/>
      <c r="G412" s="42"/>
      <c r="H412" s="41"/>
      <c r="I412" s="41"/>
    </row>
    <row r="413">
      <c r="A413" s="23"/>
      <c r="B413" s="41"/>
      <c r="C413" s="9"/>
      <c r="D413" s="41"/>
      <c r="F413" s="41"/>
      <c r="G413" s="42"/>
      <c r="H413" s="41"/>
      <c r="I413" s="41"/>
    </row>
    <row r="414">
      <c r="A414" s="23"/>
      <c r="B414" s="41"/>
      <c r="C414" s="9"/>
      <c r="D414" s="41"/>
      <c r="F414" s="41"/>
      <c r="G414" s="42"/>
      <c r="H414" s="41"/>
      <c r="I414" s="41"/>
    </row>
    <row r="415">
      <c r="A415" s="41"/>
      <c r="B415" s="41"/>
      <c r="C415" s="9"/>
      <c r="D415" s="41"/>
      <c r="F415" s="41"/>
      <c r="G415" s="42"/>
      <c r="H415" s="41"/>
      <c r="I415" s="41"/>
    </row>
    <row r="416">
      <c r="A416" s="41"/>
      <c r="B416" s="41"/>
      <c r="C416" s="9"/>
      <c r="D416" s="41"/>
      <c r="F416" s="41"/>
      <c r="G416" s="42"/>
      <c r="H416" s="41"/>
      <c r="I416" s="41"/>
    </row>
    <row r="417">
      <c r="A417" s="41"/>
      <c r="B417" s="41"/>
      <c r="C417" s="9"/>
      <c r="D417" s="41"/>
      <c r="F417" s="41"/>
      <c r="G417" s="42"/>
      <c r="H417" s="41"/>
      <c r="I417" s="41"/>
    </row>
    <row r="418">
      <c r="A418" s="41"/>
      <c r="B418" s="41"/>
      <c r="C418" s="9"/>
      <c r="D418" s="41"/>
      <c r="F418" s="41"/>
      <c r="G418" s="42"/>
      <c r="H418" s="41"/>
      <c r="I418" s="41"/>
    </row>
    <row r="419">
      <c r="A419" s="41"/>
      <c r="B419" s="41"/>
      <c r="C419" s="9"/>
      <c r="D419" s="41"/>
      <c r="F419" s="41"/>
      <c r="G419" s="42"/>
      <c r="H419" s="41"/>
      <c r="I419" s="41"/>
    </row>
    <row r="420">
      <c r="A420" s="41"/>
      <c r="B420" s="41"/>
      <c r="C420" s="9"/>
      <c r="D420" s="41"/>
      <c r="F420" s="41"/>
      <c r="G420" s="42"/>
      <c r="H420" s="41"/>
      <c r="I420" s="41"/>
    </row>
    <row r="421">
      <c r="A421" s="41"/>
      <c r="B421" s="41"/>
      <c r="C421" s="9"/>
      <c r="D421" s="41"/>
      <c r="F421" s="41"/>
      <c r="G421" s="42"/>
      <c r="H421" s="41"/>
      <c r="I421" s="41"/>
    </row>
    <row r="422">
      <c r="A422" s="41"/>
      <c r="B422" s="41"/>
      <c r="C422" s="9"/>
      <c r="D422" s="41"/>
      <c r="F422" s="41"/>
      <c r="G422" s="42"/>
      <c r="H422" s="41"/>
      <c r="I422" s="41"/>
    </row>
    <row r="423">
      <c r="A423" s="41"/>
      <c r="B423" s="41"/>
      <c r="C423" s="9"/>
      <c r="D423" s="41"/>
      <c r="F423" s="41"/>
      <c r="G423" s="42"/>
      <c r="H423" s="41"/>
      <c r="I423" s="41"/>
    </row>
    <row r="424">
      <c r="A424" s="41"/>
      <c r="B424" s="41"/>
      <c r="C424" s="9"/>
      <c r="D424" s="41"/>
      <c r="F424" s="41"/>
      <c r="G424" s="42"/>
      <c r="H424" s="41"/>
      <c r="I424" s="41"/>
    </row>
    <row r="425">
      <c r="A425" s="41"/>
      <c r="B425" s="41"/>
      <c r="C425" s="9"/>
      <c r="D425" s="41"/>
      <c r="F425" s="41"/>
      <c r="G425" s="42"/>
      <c r="H425" s="41"/>
      <c r="I425" s="41"/>
    </row>
    <row r="426">
      <c r="A426" s="41"/>
      <c r="B426" s="41"/>
      <c r="C426" s="9"/>
      <c r="D426" s="41"/>
      <c r="F426" s="41"/>
      <c r="G426" s="42"/>
      <c r="H426" s="41"/>
      <c r="I426" s="41"/>
    </row>
    <row r="427">
      <c r="A427" s="41"/>
      <c r="B427" s="41"/>
      <c r="C427" s="9"/>
      <c r="D427" s="41"/>
      <c r="F427" s="41"/>
      <c r="G427" s="42"/>
      <c r="H427" s="41"/>
      <c r="I427" s="41"/>
    </row>
    <row r="428">
      <c r="A428" s="41"/>
      <c r="B428" s="41"/>
      <c r="C428" s="9"/>
      <c r="D428" s="41"/>
      <c r="F428" s="41"/>
      <c r="G428" s="42"/>
      <c r="H428" s="41"/>
      <c r="I428" s="41"/>
    </row>
    <row r="429">
      <c r="A429" s="41"/>
      <c r="B429" s="41"/>
      <c r="C429" s="9"/>
      <c r="D429" s="41"/>
      <c r="F429" s="41"/>
      <c r="G429" s="42"/>
      <c r="H429" s="41"/>
      <c r="I429" s="41"/>
    </row>
    <row r="430">
      <c r="A430" s="41"/>
      <c r="B430" s="41"/>
      <c r="C430" s="9"/>
      <c r="D430" s="41"/>
      <c r="F430" s="41"/>
      <c r="G430" s="42"/>
      <c r="H430" s="41"/>
      <c r="I430" s="41"/>
    </row>
    <row r="431">
      <c r="A431" s="41"/>
      <c r="B431" s="41"/>
      <c r="C431" s="9"/>
      <c r="D431" s="41"/>
      <c r="F431" s="41"/>
      <c r="G431" s="42"/>
      <c r="H431" s="41"/>
      <c r="I431" s="41"/>
    </row>
    <row r="432">
      <c r="A432" s="41"/>
      <c r="B432" s="41"/>
      <c r="C432" s="9"/>
      <c r="D432" s="41"/>
      <c r="F432" s="41"/>
      <c r="G432" s="42"/>
      <c r="H432" s="41"/>
      <c r="I432" s="41"/>
    </row>
    <row r="433">
      <c r="A433" s="41"/>
      <c r="B433" s="41"/>
      <c r="C433" s="9"/>
      <c r="D433" s="41"/>
      <c r="F433" s="41"/>
      <c r="G433" s="42"/>
      <c r="H433" s="41"/>
      <c r="I433" s="41"/>
    </row>
    <row r="434">
      <c r="A434" s="41"/>
      <c r="B434" s="41"/>
      <c r="C434" s="9"/>
      <c r="D434" s="41"/>
      <c r="F434" s="41"/>
      <c r="G434" s="42"/>
      <c r="H434" s="41"/>
      <c r="I434" s="41"/>
    </row>
    <row r="435">
      <c r="A435" s="41"/>
      <c r="B435" s="41"/>
      <c r="C435" s="9"/>
      <c r="D435" s="41"/>
      <c r="F435" s="41"/>
      <c r="G435" s="42"/>
      <c r="H435" s="41"/>
      <c r="I435" s="41"/>
    </row>
    <row r="436">
      <c r="A436" s="41"/>
      <c r="B436" s="41"/>
      <c r="C436" s="9"/>
      <c r="D436" s="41"/>
      <c r="F436" s="41"/>
      <c r="G436" s="42"/>
      <c r="H436" s="41"/>
      <c r="I436" s="41"/>
    </row>
    <row r="437">
      <c r="A437" s="41"/>
      <c r="B437" s="41"/>
      <c r="C437" s="9"/>
      <c r="D437" s="41"/>
      <c r="F437" s="41"/>
      <c r="G437" s="42"/>
      <c r="H437" s="41"/>
      <c r="I437" s="41"/>
    </row>
    <row r="438">
      <c r="A438" s="41"/>
      <c r="B438" s="41"/>
      <c r="C438" s="9"/>
      <c r="D438" s="41"/>
      <c r="F438" s="41"/>
      <c r="G438" s="42"/>
      <c r="H438" s="41"/>
      <c r="I438" s="41"/>
    </row>
    <row r="439">
      <c r="A439" s="41"/>
      <c r="B439" s="41"/>
      <c r="C439" s="9"/>
      <c r="D439" s="41"/>
      <c r="F439" s="41"/>
      <c r="G439" s="42"/>
      <c r="H439" s="41"/>
      <c r="I439" s="41"/>
    </row>
    <row r="440">
      <c r="A440" s="41"/>
      <c r="B440" s="41"/>
      <c r="C440" s="9"/>
      <c r="D440" s="41"/>
      <c r="F440" s="41"/>
      <c r="G440" s="42"/>
      <c r="H440" s="41"/>
      <c r="I440" s="41"/>
    </row>
    <row r="441">
      <c r="A441" s="41"/>
      <c r="B441" s="41"/>
      <c r="C441" s="9"/>
      <c r="D441" s="41"/>
      <c r="F441" s="41"/>
      <c r="G441" s="42"/>
      <c r="H441" s="41"/>
      <c r="I441" s="41"/>
    </row>
    <row r="442">
      <c r="A442" s="41"/>
      <c r="B442" s="41"/>
      <c r="C442" s="9"/>
      <c r="D442" s="41"/>
      <c r="F442" s="41"/>
      <c r="G442" s="42"/>
      <c r="H442" s="41"/>
      <c r="I442" s="41"/>
    </row>
    <row r="443">
      <c r="A443" s="41"/>
      <c r="B443" s="41"/>
      <c r="C443" s="9"/>
      <c r="D443" s="41"/>
      <c r="F443" s="41"/>
      <c r="G443" s="42"/>
      <c r="H443" s="41"/>
      <c r="I443" s="41"/>
    </row>
    <row r="444">
      <c r="A444" s="41"/>
      <c r="B444" s="41"/>
      <c r="C444" s="9"/>
      <c r="D444" s="41"/>
      <c r="F444" s="41"/>
      <c r="G444" s="42"/>
      <c r="H444" s="41"/>
      <c r="I444" s="41"/>
    </row>
    <row r="445">
      <c r="A445" s="41"/>
      <c r="B445" s="41"/>
      <c r="C445" s="9"/>
      <c r="D445" s="41"/>
      <c r="F445" s="41"/>
      <c r="G445" s="42"/>
      <c r="H445" s="41"/>
      <c r="I445" s="41"/>
    </row>
    <row r="446">
      <c r="A446" s="41"/>
      <c r="B446" s="41"/>
      <c r="C446" s="9"/>
      <c r="D446" s="41"/>
      <c r="F446" s="41"/>
      <c r="G446" s="42"/>
      <c r="H446" s="41"/>
      <c r="I446" s="41"/>
    </row>
    <row r="447">
      <c r="A447" s="41"/>
      <c r="B447" s="41"/>
      <c r="C447" s="9"/>
      <c r="D447" s="41"/>
      <c r="F447" s="41"/>
      <c r="G447" s="42"/>
      <c r="H447" s="41"/>
      <c r="I447" s="41"/>
    </row>
    <row r="448">
      <c r="A448" s="41"/>
      <c r="B448" s="41"/>
      <c r="C448" s="9"/>
      <c r="D448" s="41"/>
      <c r="F448" s="41"/>
      <c r="G448" s="42"/>
      <c r="H448" s="41"/>
      <c r="I448" s="41"/>
    </row>
    <row r="449">
      <c r="A449" s="41"/>
      <c r="B449" s="41"/>
      <c r="C449" s="9"/>
      <c r="D449" s="41"/>
      <c r="F449" s="41"/>
      <c r="G449" s="42"/>
      <c r="H449" s="41"/>
      <c r="I449" s="41"/>
    </row>
    <row r="450">
      <c r="A450" s="41"/>
      <c r="B450" s="41"/>
      <c r="C450" s="9"/>
      <c r="D450" s="41"/>
      <c r="F450" s="41"/>
      <c r="G450" s="42"/>
      <c r="H450" s="41"/>
      <c r="I450" s="41"/>
    </row>
    <row r="451">
      <c r="A451" s="41"/>
      <c r="B451" s="41"/>
      <c r="C451" s="9"/>
      <c r="D451" s="41"/>
      <c r="F451" s="41"/>
      <c r="G451" s="42"/>
      <c r="H451" s="41"/>
      <c r="I451" s="41"/>
    </row>
    <row r="452">
      <c r="A452" s="41"/>
      <c r="B452" s="41"/>
      <c r="C452" s="9"/>
      <c r="D452" s="41"/>
      <c r="F452" s="41"/>
      <c r="G452" s="42"/>
      <c r="H452" s="41"/>
      <c r="I452" s="41"/>
    </row>
    <row r="453">
      <c r="A453" s="41"/>
      <c r="B453" s="41"/>
      <c r="C453" s="9"/>
      <c r="D453" s="41"/>
      <c r="F453" s="41"/>
      <c r="G453" s="42"/>
      <c r="H453" s="41"/>
      <c r="I453" s="41"/>
    </row>
    <row r="454">
      <c r="A454" s="41"/>
      <c r="B454" s="41"/>
      <c r="C454" s="9"/>
      <c r="D454" s="41"/>
      <c r="F454" s="41"/>
      <c r="G454" s="42"/>
      <c r="H454" s="41"/>
      <c r="I454" s="41"/>
    </row>
    <row r="455">
      <c r="A455" s="41"/>
      <c r="B455" s="41"/>
      <c r="C455" s="9"/>
      <c r="D455" s="41"/>
      <c r="F455" s="41"/>
      <c r="G455" s="42"/>
      <c r="H455" s="41"/>
      <c r="I455" s="41"/>
    </row>
    <row r="456">
      <c r="A456" s="41"/>
      <c r="B456" s="41"/>
      <c r="C456" s="9"/>
      <c r="D456" s="41"/>
      <c r="F456" s="41"/>
      <c r="G456" s="42"/>
      <c r="H456" s="41"/>
      <c r="I456" s="41"/>
    </row>
    <row r="457">
      <c r="A457" s="41"/>
      <c r="B457" s="41"/>
      <c r="C457" s="9"/>
      <c r="D457" s="41"/>
      <c r="F457" s="41"/>
      <c r="G457" s="42"/>
      <c r="H457" s="41"/>
      <c r="I457" s="41"/>
    </row>
    <row r="458">
      <c r="A458" s="41"/>
      <c r="B458" s="41"/>
      <c r="C458" s="9"/>
      <c r="D458" s="41"/>
      <c r="F458" s="41"/>
      <c r="G458" s="42"/>
      <c r="H458" s="41"/>
      <c r="I458" s="41"/>
    </row>
    <row r="459">
      <c r="A459" s="41"/>
      <c r="B459" s="41"/>
      <c r="C459" s="9"/>
      <c r="D459" s="41"/>
      <c r="F459" s="41"/>
      <c r="G459" s="42"/>
      <c r="H459" s="41"/>
      <c r="I459" s="41"/>
    </row>
    <row r="460">
      <c r="A460" s="41"/>
      <c r="B460" s="41"/>
      <c r="C460" s="9"/>
      <c r="D460" s="41"/>
      <c r="F460" s="41"/>
      <c r="G460" s="42"/>
      <c r="H460" s="41"/>
      <c r="I460" s="41"/>
    </row>
    <row r="461">
      <c r="A461" s="41"/>
      <c r="B461" s="41"/>
      <c r="C461" s="9"/>
      <c r="D461" s="41"/>
      <c r="F461" s="41"/>
      <c r="G461" s="42"/>
      <c r="H461" s="41"/>
      <c r="I461" s="41"/>
    </row>
    <row r="462">
      <c r="A462" s="41"/>
      <c r="B462" s="41"/>
      <c r="C462" s="9"/>
      <c r="D462" s="41"/>
      <c r="F462" s="41"/>
      <c r="G462" s="42"/>
      <c r="H462" s="41"/>
      <c r="I462" s="41"/>
    </row>
    <row r="463">
      <c r="A463" s="41"/>
      <c r="B463" s="41"/>
      <c r="C463" s="9"/>
      <c r="D463" s="41"/>
      <c r="F463" s="41"/>
      <c r="G463" s="42"/>
      <c r="H463" s="41"/>
      <c r="I463" s="41"/>
    </row>
    <row r="464">
      <c r="A464" s="41"/>
      <c r="B464" s="41"/>
      <c r="C464" s="9"/>
      <c r="D464" s="41"/>
      <c r="F464" s="41"/>
      <c r="G464" s="42"/>
      <c r="H464" s="41"/>
      <c r="I464" s="41"/>
    </row>
    <row r="465">
      <c r="A465" s="41"/>
      <c r="B465" s="41"/>
      <c r="C465" s="9"/>
      <c r="D465" s="41"/>
      <c r="F465" s="41"/>
      <c r="G465" s="42"/>
      <c r="H465" s="41"/>
      <c r="I465" s="41"/>
    </row>
    <row r="466">
      <c r="A466" s="41"/>
      <c r="B466" s="41"/>
      <c r="C466" s="9"/>
      <c r="D466" s="41"/>
      <c r="F466" s="41"/>
      <c r="G466" s="42"/>
      <c r="H466" s="41"/>
      <c r="I466" s="41"/>
    </row>
    <row r="467">
      <c r="A467" s="41"/>
      <c r="B467" s="41"/>
      <c r="C467" s="9"/>
      <c r="D467" s="41"/>
      <c r="F467" s="41"/>
      <c r="G467" s="42"/>
      <c r="H467" s="41"/>
      <c r="I467" s="41"/>
    </row>
    <row r="468">
      <c r="A468" s="41"/>
      <c r="B468" s="41"/>
      <c r="C468" s="9"/>
      <c r="D468" s="41"/>
      <c r="F468" s="41"/>
      <c r="G468" s="42"/>
      <c r="H468" s="41"/>
      <c r="I468" s="41"/>
    </row>
    <row r="469">
      <c r="A469" s="41"/>
      <c r="B469" s="41"/>
      <c r="C469" s="9"/>
      <c r="D469" s="41"/>
      <c r="F469" s="41"/>
      <c r="G469" s="42"/>
      <c r="H469" s="41"/>
      <c r="I469" s="41"/>
    </row>
    <row r="470">
      <c r="A470" s="41"/>
      <c r="B470" s="41"/>
      <c r="C470" s="9"/>
      <c r="D470" s="41"/>
      <c r="F470" s="41"/>
      <c r="G470" s="42"/>
      <c r="H470" s="41"/>
      <c r="I470" s="41"/>
    </row>
    <row r="471">
      <c r="A471" s="41"/>
      <c r="B471" s="41"/>
      <c r="C471" s="9"/>
      <c r="D471" s="41"/>
      <c r="F471" s="41"/>
      <c r="G471" s="42"/>
      <c r="H471" s="41"/>
      <c r="I471" s="41"/>
    </row>
    <row r="472">
      <c r="A472" s="41"/>
      <c r="B472" s="41"/>
      <c r="C472" s="9"/>
      <c r="D472" s="41"/>
      <c r="F472" s="41"/>
      <c r="G472" s="42"/>
      <c r="H472" s="41"/>
      <c r="I472" s="41"/>
    </row>
    <row r="473">
      <c r="A473" s="41"/>
      <c r="B473" s="41"/>
      <c r="C473" s="9"/>
      <c r="D473" s="41"/>
      <c r="F473" s="41"/>
      <c r="G473" s="42"/>
      <c r="H473" s="41"/>
      <c r="I473" s="41"/>
    </row>
    <row r="474">
      <c r="A474" s="41"/>
      <c r="B474" s="41"/>
      <c r="C474" s="9"/>
      <c r="D474" s="41"/>
      <c r="F474" s="41"/>
      <c r="G474" s="42"/>
      <c r="H474" s="41"/>
      <c r="I474" s="41"/>
    </row>
    <row r="475">
      <c r="A475" s="41"/>
      <c r="B475" s="41"/>
      <c r="C475" s="9"/>
      <c r="D475" s="41"/>
      <c r="F475" s="41"/>
      <c r="G475" s="42"/>
      <c r="H475" s="41"/>
      <c r="I475" s="41"/>
    </row>
    <row r="476">
      <c r="A476" s="41"/>
      <c r="B476" s="41"/>
      <c r="C476" s="9"/>
      <c r="D476" s="41"/>
      <c r="F476" s="41"/>
      <c r="G476" s="42"/>
      <c r="H476" s="41"/>
      <c r="I476" s="41"/>
    </row>
    <row r="477">
      <c r="A477" s="41"/>
      <c r="B477" s="41"/>
      <c r="C477" s="9"/>
      <c r="D477" s="41"/>
      <c r="F477" s="41"/>
      <c r="G477" s="42"/>
      <c r="H477" s="41"/>
      <c r="I477" s="41"/>
    </row>
    <row r="478">
      <c r="A478" s="41"/>
      <c r="B478" s="41"/>
      <c r="C478" s="9"/>
      <c r="D478" s="41"/>
      <c r="F478" s="41"/>
      <c r="G478" s="42"/>
      <c r="H478" s="41"/>
      <c r="I478" s="41"/>
    </row>
    <row r="479">
      <c r="A479" s="41"/>
      <c r="B479" s="41"/>
      <c r="C479" s="9"/>
      <c r="D479" s="41"/>
      <c r="F479" s="41"/>
      <c r="G479" s="42"/>
      <c r="H479" s="41"/>
      <c r="I479" s="41"/>
    </row>
    <row r="480">
      <c r="A480" s="41"/>
      <c r="B480" s="41"/>
      <c r="C480" s="9"/>
      <c r="D480" s="41"/>
      <c r="F480" s="41"/>
      <c r="G480" s="42"/>
      <c r="H480" s="41"/>
      <c r="I480" s="41"/>
    </row>
    <row r="481">
      <c r="A481" s="41"/>
      <c r="B481" s="41"/>
      <c r="C481" s="9"/>
      <c r="D481" s="41"/>
      <c r="F481" s="41"/>
      <c r="G481" s="42"/>
      <c r="H481" s="41"/>
      <c r="I481" s="41"/>
    </row>
    <row r="482">
      <c r="A482" s="41"/>
      <c r="B482" s="41"/>
      <c r="C482" s="9"/>
      <c r="D482" s="41"/>
      <c r="F482" s="41"/>
      <c r="G482" s="42"/>
      <c r="H482" s="41"/>
      <c r="I482" s="41"/>
    </row>
    <row r="483">
      <c r="A483" s="41"/>
      <c r="B483" s="41"/>
      <c r="C483" s="9"/>
      <c r="D483" s="41"/>
      <c r="F483" s="41"/>
      <c r="G483" s="42"/>
      <c r="H483" s="41"/>
      <c r="I483" s="41"/>
    </row>
    <row r="484">
      <c r="A484" s="41"/>
      <c r="B484" s="41"/>
      <c r="C484" s="9"/>
      <c r="D484" s="41"/>
      <c r="F484" s="41"/>
      <c r="G484" s="42"/>
      <c r="H484" s="41"/>
      <c r="I484" s="41"/>
    </row>
    <row r="485">
      <c r="A485" s="41"/>
      <c r="B485" s="41"/>
      <c r="C485" s="9"/>
      <c r="D485" s="41"/>
      <c r="F485" s="41"/>
      <c r="G485" s="42"/>
      <c r="H485" s="41"/>
      <c r="I485" s="41"/>
    </row>
    <row r="486">
      <c r="A486" s="41"/>
      <c r="B486" s="41"/>
      <c r="C486" s="9"/>
      <c r="D486" s="41"/>
      <c r="F486" s="41"/>
      <c r="G486" s="42"/>
      <c r="H486" s="41"/>
      <c r="I486" s="41"/>
    </row>
    <row r="487">
      <c r="A487" s="41"/>
      <c r="B487" s="41"/>
      <c r="C487" s="9"/>
      <c r="D487" s="41"/>
      <c r="F487" s="41"/>
      <c r="G487" s="42"/>
      <c r="H487" s="41"/>
      <c r="I487" s="41"/>
    </row>
    <row r="488">
      <c r="A488" s="41"/>
      <c r="B488" s="41"/>
      <c r="C488" s="9"/>
      <c r="D488" s="41"/>
      <c r="F488" s="41"/>
      <c r="G488" s="42"/>
      <c r="H488" s="41"/>
      <c r="I488" s="41"/>
    </row>
    <row r="489">
      <c r="A489" s="41"/>
      <c r="B489" s="41"/>
      <c r="C489" s="9"/>
      <c r="D489" s="41"/>
      <c r="F489" s="41"/>
      <c r="G489" s="42"/>
      <c r="H489" s="41"/>
      <c r="I489" s="41"/>
    </row>
    <row r="490">
      <c r="A490" s="41"/>
      <c r="B490" s="41"/>
      <c r="C490" s="9"/>
      <c r="D490" s="41"/>
      <c r="F490" s="41"/>
      <c r="G490" s="42"/>
      <c r="H490" s="41"/>
      <c r="I490" s="41"/>
    </row>
    <row r="491">
      <c r="A491" s="41"/>
      <c r="B491" s="41"/>
      <c r="C491" s="9"/>
      <c r="D491" s="41"/>
      <c r="F491" s="41"/>
      <c r="G491" s="42"/>
      <c r="H491" s="41"/>
      <c r="I491" s="41"/>
    </row>
    <row r="492">
      <c r="A492" s="41"/>
      <c r="B492" s="41"/>
      <c r="C492" s="9"/>
      <c r="D492" s="41"/>
      <c r="F492" s="41"/>
      <c r="G492" s="42"/>
      <c r="H492" s="41"/>
      <c r="I492" s="41"/>
    </row>
    <row r="493">
      <c r="A493" s="41"/>
      <c r="B493" s="41"/>
      <c r="C493" s="9"/>
      <c r="D493" s="41"/>
      <c r="F493" s="41"/>
      <c r="G493" s="42"/>
      <c r="H493" s="41"/>
      <c r="I493" s="41"/>
    </row>
    <row r="494">
      <c r="A494" s="41"/>
      <c r="B494" s="41"/>
      <c r="C494" s="9"/>
      <c r="D494" s="41"/>
      <c r="F494" s="41"/>
      <c r="G494" s="42"/>
      <c r="H494" s="41"/>
      <c r="I494" s="41"/>
    </row>
    <row r="495">
      <c r="A495" s="41"/>
      <c r="B495" s="41"/>
      <c r="C495" s="9"/>
      <c r="D495" s="41"/>
      <c r="F495" s="41"/>
      <c r="G495" s="42"/>
      <c r="H495" s="41"/>
      <c r="I495" s="41"/>
    </row>
    <row r="496">
      <c r="A496" s="41"/>
      <c r="B496" s="41"/>
      <c r="C496" s="9"/>
      <c r="D496" s="41"/>
      <c r="F496" s="41"/>
      <c r="G496" s="42"/>
      <c r="H496" s="41"/>
      <c r="I496" s="41"/>
    </row>
    <row r="497">
      <c r="A497" s="41"/>
      <c r="B497" s="41"/>
      <c r="C497" s="9"/>
      <c r="D497" s="41"/>
      <c r="F497" s="41"/>
      <c r="G497" s="42"/>
      <c r="H497" s="41"/>
      <c r="I497" s="41"/>
    </row>
    <row r="498">
      <c r="A498" s="41"/>
      <c r="B498" s="41"/>
      <c r="C498" s="9"/>
      <c r="D498" s="41"/>
      <c r="F498" s="41"/>
      <c r="G498" s="42"/>
      <c r="H498" s="41"/>
      <c r="I498" s="41"/>
    </row>
    <row r="499">
      <c r="A499" s="41"/>
      <c r="B499" s="41"/>
      <c r="C499" s="9"/>
      <c r="D499" s="41"/>
      <c r="F499" s="41"/>
      <c r="G499" s="42"/>
      <c r="H499" s="41"/>
      <c r="I499" s="41"/>
    </row>
    <row r="500">
      <c r="A500" s="41"/>
      <c r="B500" s="41"/>
      <c r="C500" s="9"/>
      <c r="D500" s="41"/>
      <c r="F500" s="41"/>
      <c r="G500" s="42"/>
      <c r="H500" s="41"/>
      <c r="I500" s="41"/>
    </row>
    <row r="501">
      <c r="A501" s="41"/>
      <c r="B501" s="41"/>
      <c r="C501" s="9"/>
      <c r="D501" s="41"/>
      <c r="F501" s="41"/>
      <c r="G501" s="42"/>
      <c r="H501" s="41"/>
      <c r="I501" s="41"/>
    </row>
    <row r="502">
      <c r="A502" s="41"/>
      <c r="B502" s="41"/>
      <c r="C502" s="9"/>
      <c r="D502" s="41"/>
      <c r="F502" s="41"/>
      <c r="G502" s="42"/>
      <c r="H502" s="41"/>
      <c r="I502" s="41"/>
    </row>
    <row r="503">
      <c r="A503" s="41"/>
      <c r="B503" s="41"/>
      <c r="C503" s="9"/>
      <c r="D503" s="41"/>
      <c r="F503" s="41"/>
      <c r="G503" s="42"/>
      <c r="H503" s="41"/>
      <c r="I503" s="41"/>
    </row>
    <row r="504">
      <c r="A504" s="41"/>
      <c r="B504" s="41"/>
      <c r="C504" s="9"/>
      <c r="D504" s="41"/>
      <c r="F504" s="41"/>
      <c r="G504" s="42"/>
      <c r="H504" s="41"/>
      <c r="I504" s="41"/>
    </row>
    <row r="505">
      <c r="A505" s="41"/>
      <c r="B505" s="41"/>
      <c r="C505" s="9"/>
      <c r="D505" s="41"/>
      <c r="F505" s="41"/>
      <c r="G505" s="42"/>
      <c r="H505" s="41"/>
      <c r="I505" s="41"/>
    </row>
    <row r="506">
      <c r="A506" s="41"/>
      <c r="B506" s="41"/>
      <c r="C506" s="9"/>
      <c r="D506" s="41"/>
      <c r="F506" s="41"/>
      <c r="G506" s="42"/>
      <c r="H506" s="41"/>
      <c r="I506" s="41"/>
    </row>
    <row r="507">
      <c r="A507" s="41"/>
      <c r="B507" s="41"/>
      <c r="C507" s="9"/>
      <c r="D507" s="41"/>
      <c r="F507" s="41"/>
      <c r="G507" s="42"/>
      <c r="H507" s="41"/>
      <c r="I507" s="41"/>
    </row>
    <row r="508">
      <c r="A508" s="41"/>
      <c r="B508" s="41"/>
      <c r="C508" s="9"/>
      <c r="D508" s="41"/>
      <c r="F508" s="41"/>
      <c r="G508" s="42"/>
      <c r="H508" s="41"/>
      <c r="I508" s="41"/>
    </row>
    <row r="509">
      <c r="A509" s="41"/>
      <c r="B509" s="41"/>
      <c r="C509" s="9"/>
      <c r="D509" s="41"/>
      <c r="F509" s="41"/>
      <c r="G509" s="42"/>
      <c r="H509" s="41"/>
      <c r="I509" s="41"/>
    </row>
    <row r="510">
      <c r="A510" s="41"/>
      <c r="B510" s="41"/>
      <c r="C510" s="9"/>
      <c r="D510" s="41"/>
      <c r="F510" s="41"/>
      <c r="G510" s="42"/>
      <c r="H510" s="41"/>
      <c r="I510" s="41"/>
    </row>
    <row r="511">
      <c r="A511" s="41"/>
      <c r="B511" s="41"/>
      <c r="C511" s="9"/>
      <c r="D511" s="41"/>
      <c r="F511" s="41"/>
      <c r="G511" s="42"/>
      <c r="H511" s="41"/>
      <c r="I511" s="41"/>
    </row>
    <row r="512">
      <c r="A512" s="41"/>
      <c r="B512" s="41"/>
      <c r="C512" s="9"/>
      <c r="D512" s="41"/>
      <c r="F512" s="41"/>
      <c r="G512" s="42"/>
      <c r="H512" s="41"/>
      <c r="I512" s="41"/>
    </row>
    <row r="513">
      <c r="A513" s="41"/>
      <c r="B513" s="41"/>
      <c r="C513" s="9"/>
      <c r="D513" s="41"/>
      <c r="F513" s="41"/>
      <c r="G513" s="42"/>
      <c r="H513" s="41"/>
      <c r="I513" s="41"/>
    </row>
    <row r="514">
      <c r="A514" s="41"/>
      <c r="B514" s="41"/>
      <c r="C514" s="9"/>
      <c r="D514" s="41"/>
      <c r="F514" s="41"/>
      <c r="G514" s="42"/>
      <c r="H514" s="41"/>
      <c r="I514" s="41"/>
    </row>
    <row r="515">
      <c r="A515" s="41"/>
      <c r="B515" s="41"/>
      <c r="C515" s="9"/>
      <c r="D515" s="41"/>
      <c r="F515" s="41"/>
      <c r="G515" s="42"/>
      <c r="H515" s="41"/>
      <c r="I515" s="41"/>
    </row>
    <row r="516">
      <c r="A516" s="41"/>
      <c r="B516" s="41"/>
      <c r="C516" s="9"/>
      <c r="D516" s="41"/>
      <c r="F516" s="41"/>
      <c r="G516" s="42"/>
      <c r="H516" s="41"/>
      <c r="I516" s="41"/>
    </row>
    <row r="517">
      <c r="A517" s="41"/>
      <c r="B517" s="41"/>
      <c r="C517" s="9"/>
      <c r="D517" s="41"/>
      <c r="F517" s="41"/>
      <c r="G517" s="42"/>
      <c r="H517" s="41"/>
      <c r="I517" s="41"/>
    </row>
    <row r="518">
      <c r="A518" s="41"/>
      <c r="B518" s="41"/>
      <c r="C518" s="9"/>
      <c r="D518" s="41"/>
      <c r="F518" s="41"/>
      <c r="G518" s="42"/>
      <c r="H518" s="41"/>
      <c r="I518" s="41"/>
    </row>
    <row r="519">
      <c r="A519" s="41"/>
      <c r="B519" s="41"/>
      <c r="C519" s="9"/>
      <c r="D519" s="41"/>
      <c r="F519" s="41"/>
      <c r="G519" s="42"/>
      <c r="H519" s="41"/>
      <c r="I519" s="41"/>
    </row>
    <row r="520">
      <c r="A520" s="41"/>
      <c r="B520" s="41"/>
      <c r="C520" s="9"/>
      <c r="D520" s="41"/>
      <c r="F520" s="41"/>
      <c r="G520" s="42"/>
      <c r="H520" s="41"/>
      <c r="I520" s="41"/>
    </row>
    <row r="521">
      <c r="A521" s="41"/>
      <c r="B521" s="41"/>
      <c r="C521" s="9"/>
      <c r="D521" s="41"/>
      <c r="F521" s="41"/>
      <c r="G521" s="42"/>
      <c r="H521" s="41"/>
      <c r="I521" s="41"/>
    </row>
    <row r="522">
      <c r="A522" s="41"/>
      <c r="B522" s="41"/>
      <c r="C522" s="9"/>
      <c r="D522" s="41"/>
      <c r="F522" s="41"/>
      <c r="G522" s="42"/>
      <c r="H522" s="41"/>
      <c r="I522" s="41"/>
    </row>
    <row r="523">
      <c r="A523" s="41"/>
      <c r="B523" s="41"/>
      <c r="C523" s="9"/>
      <c r="D523" s="41"/>
      <c r="F523" s="41"/>
      <c r="G523" s="42"/>
      <c r="H523" s="41"/>
      <c r="I523" s="41"/>
    </row>
    <row r="524">
      <c r="A524" s="41"/>
      <c r="B524" s="41"/>
      <c r="C524" s="9"/>
      <c r="D524" s="41"/>
      <c r="F524" s="41"/>
      <c r="G524" s="42"/>
      <c r="H524" s="41"/>
      <c r="I524" s="41"/>
    </row>
    <row r="525">
      <c r="A525" s="41"/>
      <c r="B525" s="41"/>
      <c r="C525" s="9"/>
      <c r="D525" s="41"/>
      <c r="F525" s="41"/>
      <c r="G525" s="42"/>
      <c r="H525" s="41"/>
      <c r="I525" s="41"/>
    </row>
    <row r="526">
      <c r="A526" s="41"/>
      <c r="B526" s="41"/>
      <c r="C526" s="9"/>
      <c r="D526" s="41"/>
      <c r="F526" s="41"/>
      <c r="G526" s="42"/>
      <c r="H526" s="41"/>
      <c r="I526" s="41"/>
    </row>
    <row r="527">
      <c r="A527" s="41"/>
      <c r="B527" s="41"/>
      <c r="C527" s="9"/>
      <c r="D527" s="41"/>
      <c r="F527" s="41"/>
      <c r="G527" s="42"/>
      <c r="H527" s="41"/>
      <c r="I527" s="41"/>
    </row>
    <row r="528">
      <c r="A528" s="41"/>
      <c r="B528" s="41"/>
      <c r="C528" s="9"/>
      <c r="D528" s="41"/>
      <c r="F528" s="41"/>
      <c r="G528" s="42"/>
      <c r="H528" s="41"/>
      <c r="I528" s="41"/>
    </row>
    <row r="529">
      <c r="A529" s="41"/>
      <c r="B529" s="41"/>
      <c r="C529" s="9"/>
      <c r="D529" s="41"/>
      <c r="F529" s="41"/>
      <c r="G529" s="42"/>
      <c r="H529" s="41"/>
      <c r="I529" s="41"/>
    </row>
    <row r="530">
      <c r="A530" s="41"/>
      <c r="B530" s="41"/>
      <c r="C530" s="9"/>
      <c r="D530" s="41"/>
      <c r="F530" s="41"/>
      <c r="G530" s="42"/>
      <c r="H530" s="41"/>
      <c r="I530" s="41"/>
    </row>
    <row r="531">
      <c r="A531" s="41"/>
      <c r="B531" s="41"/>
      <c r="C531" s="9"/>
      <c r="D531" s="41"/>
      <c r="F531" s="41"/>
      <c r="G531" s="42"/>
      <c r="H531" s="41"/>
      <c r="I531" s="41"/>
    </row>
    <row r="532">
      <c r="A532" s="41"/>
      <c r="B532" s="41"/>
      <c r="C532" s="9"/>
      <c r="D532" s="41"/>
      <c r="F532" s="41"/>
      <c r="G532" s="42"/>
      <c r="H532" s="41"/>
      <c r="I532" s="41"/>
    </row>
    <row r="533">
      <c r="A533" s="41"/>
      <c r="B533" s="41"/>
      <c r="C533" s="9"/>
      <c r="D533" s="41"/>
      <c r="F533" s="41"/>
      <c r="G533" s="42"/>
      <c r="H533" s="41"/>
      <c r="I533" s="41"/>
    </row>
    <row r="534">
      <c r="A534" s="41"/>
      <c r="B534" s="41"/>
      <c r="C534" s="9"/>
      <c r="D534" s="41"/>
      <c r="F534" s="41"/>
      <c r="G534" s="42"/>
      <c r="H534" s="41"/>
      <c r="I534" s="41"/>
    </row>
    <row r="535">
      <c r="A535" s="41"/>
      <c r="B535" s="41"/>
      <c r="C535" s="9"/>
      <c r="D535" s="41"/>
      <c r="F535" s="41"/>
      <c r="G535" s="42"/>
      <c r="H535" s="41"/>
      <c r="I535" s="41"/>
    </row>
    <row r="536">
      <c r="A536" s="41"/>
      <c r="B536" s="41"/>
      <c r="C536" s="9"/>
      <c r="D536" s="41"/>
      <c r="F536" s="41"/>
      <c r="G536" s="42"/>
      <c r="H536" s="41"/>
      <c r="I536" s="41"/>
    </row>
    <row r="537">
      <c r="A537" s="41"/>
      <c r="B537" s="41"/>
      <c r="C537" s="9"/>
      <c r="D537" s="41"/>
      <c r="F537" s="41"/>
      <c r="G537" s="42"/>
      <c r="H537" s="41"/>
      <c r="I537" s="41"/>
    </row>
    <row r="538">
      <c r="A538" s="41"/>
      <c r="B538" s="41"/>
      <c r="C538" s="9"/>
      <c r="D538" s="41"/>
      <c r="F538" s="41"/>
      <c r="G538" s="42"/>
      <c r="H538" s="41"/>
      <c r="I538" s="41"/>
    </row>
    <row r="539">
      <c r="A539" s="41"/>
      <c r="B539" s="41"/>
      <c r="C539" s="9"/>
      <c r="D539" s="41"/>
      <c r="F539" s="41"/>
      <c r="G539" s="42"/>
      <c r="H539" s="41"/>
      <c r="I539" s="41"/>
    </row>
    <row r="540">
      <c r="A540" s="41"/>
      <c r="B540" s="41"/>
      <c r="C540" s="9"/>
      <c r="D540" s="41"/>
      <c r="F540" s="41"/>
      <c r="G540" s="42"/>
      <c r="H540" s="41"/>
      <c r="I540" s="41"/>
    </row>
    <row r="541">
      <c r="A541" s="41"/>
      <c r="B541" s="41"/>
      <c r="C541" s="9"/>
      <c r="D541" s="41"/>
      <c r="F541" s="41"/>
      <c r="G541" s="42"/>
      <c r="H541" s="41"/>
      <c r="I541" s="41"/>
    </row>
    <row r="542">
      <c r="A542" s="41"/>
      <c r="B542" s="41"/>
      <c r="C542" s="9"/>
      <c r="D542" s="41"/>
      <c r="F542" s="41"/>
      <c r="G542" s="42"/>
      <c r="H542" s="41"/>
      <c r="I542" s="41"/>
    </row>
    <row r="543">
      <c r="A543" s="41"/>
      <c r="B543" s="41"/>
      <c r="C543" s="9"/>
      <c r="D543" s="41"/>
      <c r="F543" s="41"/>
      <c r="G543" s="42"/>
      <c r="H543" s="41"/>
      <c r="I543" s="41"/>
    </row>
    <row r="544">
      <c r="A544" s="41"/>
      <c r="B544" s="41"/>
      <c r="C544" s="9"/>
      <c r="D544" s="41"/>
      <c r="F544" s="41"/>
      <c r="G544" s="42"/>
      <c r="H544" s="41"/>
      <c r="I544" s="41"/>
    </row>
    <row r="545">
      <c r="A545" s="41"/>
      <c r="B545" s="41"/>
      <c r="C545" s="9"/>
      <c r="D545" s="41"/>
      <c r="F545" s="41"/>
      <c r="G545" s="42"/>
      <c r="H545" s="41"/>
      <c r="I545" s="41"/>
    </row>
    <row r="546">
      <c r="A546" s="41"/>
      <c r="B546" s="41"/>
      <c r="C546" s="9"/>
      <c r="D546" s="41"/>
      <c r="F546" s="41"/>
      <c r="G546" s="42"/>
      <c r="H546" s="41"/>
      <c r="I546" s="41"/>
    </row>
    <row r="547">
      <c r="A547" s="41"/>
      <c r="B547" s="41"/>
      <c r="C547" s="9"/>
      <c r="D547" s="41"/>
      <c r="F547" s="41"/>
      <c r="G547" s="42"/>
      <c r="H547" s="41"/>
      <c r="I547" s="41"/>
    </row>
    <row r="548">
      <c r="A548" s="41"/>
      <c r="B548" s="41"/>
      <c r="C548" s="9"/>
      <c r="D548" s="41"/>
      <c r="F548" s="41"/>
      <c r="G548" s="42"/>
      <c r="H548" s="41"/>
      <c r="I548" s="41"/>
    </row>
    <row r="549">
      <c r="A549" s="41"/>
      <c r="B549" s="41"/>
      <c r="C549" s="9"/>
      <c r="D549" s="41"/>
      <c r="F549" s="41"/>
      <c r="G549" s="42"/>
      <c r="H549" s="41"/>
      <c r="I549" s="41"/>
    </row>
    <row r="550">
      <c r="A550" s="41"/>
      <c r="B550" s="41"/>
      <c r="C550" s="9"/>
      <c r="D550" s="41"/>
      <c r="F550" s="41"/>
      <c r="G550" s="42"/>
      <c r="H550" s="41"/>
      <c r="I550" s="41"/>
    </row>
    <row r="551">
      <c r="A551" s="41"/>
      <c r="B551" s="41"/>
      <c r="C551" s="9"/>
      <c r="D551" s="41"/>
      <c r="F551" s="41"/>
      <c r="G551" s="42"/>
      <c r="H551" s="41"/>
      <c r="I551" s="41"/>
    </row>
    <row r="552">
      <c r="A552" s="41"/>
      <c r="B552" s="41"/>
      <c r="C552" s="9"/>
      <c r="D552" s="41"/>
      <c r="F552" s="41"/>
      <c r="G552" s="42"/>
      <c r="H552" s="41"/>
      <c r="I552" s="41"/>
    </row>
    <row r="553">
      <c r="A553" s="41"/>
      <c r="B553" s="41"/>
      <c r="C553" s="9"/>
      <c r="D553" s="41"/>
      <c r="F553" s="41"/>
      <c r="G553" s="42"/>
      <c r="H553" s="41"/>
      <c r="I553" s="41"/>
    </row>
    <row r="554">
      <c r="A554" s="41"/>
      <c r="B554" s="41"/>
      <c r="C554" s="9"/>
      <c r="D554" s="41"/>
      <c r="F554" s="41"/>
      <c r="G554" s="42"/>
      <c r="H554" s="41"/>
      <c r="I554" s="41"/>
    </row>
    <row r="555">
      <c r="A555" s="41"/>
      <c r="B555" s="41"/>
      <c r="C555" s="9"/>
      <c r="D555" s="41"/>
      <c r="F555" s="41"/>
      <c r="G555" s="42"/>
      <c r="H555" s="41"/>
      <c r="I555" s="41"/>
    </row>
    <row r="556">
      <c r="A556" s="41"/>
      <c r="B556" s="41"/>
      <c r="C556" s="9"/>
      <c r="D556" s="41"/>
      <c r="F556" s="41"/>
      <c r="G556" s="42"/>
      <c r="H556" s="41"/>
      <c r="I556" s="41"/>
    </row>
    <row r="557">
      <c r="A557" s="41"/>
      <c r="B557" s="41"/>
      <c r="C557" s="9"/>
      <c r="D557" s="41"/>
      <c r="F557" s="41"/>
      <c r="G557" s="42"/>
      <c r="H557" s="41"/>
      <c r="I557" s="41"/>
    </row>
    <row r="558">
      <c r="A558" s="41"/>
      <c r="B558" s="41"/>
      <c r="C558" s="9"/>
      <c r="D558" s="41"/>
      <c r="F558" s="41"/>
      <c r="G558" s="42"/>
      <c r="H558" s="41"/>
      <c r="I558" s="41"/>
    </row>
    <row r="559">
      <c r="A559" s="41"/>
      <c r="B559" s="41"/>
      <c r="C559" s="9"/>
      <c r="D559" s="41"/>
      <c r="F559" s="41"/>
      <c r="G559" s="42"/>
      <c r="H559" s="41"/>
      <c r="I559" s="41"/>
    </row>
    <row r="560">
      <c r="A560" s="41"/>
      <c r="B560" s="41"/>
      <c r="C560" s="9"/>
      <c r="D560" s="41"/>
      <c r="F560" s="41"/>
      <c r="G560" s="42"/>
      <c r="H560" s="41"/>
      <c r="I560" s="41"/>
    </row>
    <row r="561">
      <c r="A561" s="41"/>
      <c r="B561" s="41"/>
      <c r="C561" s="9"/>
      <c r="D561" s="41"/>
      <c r="F561" s="41"/>
      <c r="G561" s="42"/>
      <c r="H561" s="41"/>
      <c r="I561" s="41"/>
    </row>
    <row r="562">
      <c r="A562" s="41"/>
      <c r="B562" s="41"/>
      <c r="C562" s="9"/>
      <c r="D562" s="41"/>
      <c r="F562" s="41"/>
      <c r="G562" s="42"/>
      <c r="H562" s="41"/>
      <c r="I562" s="41"/>
    </row>
    <row r="563">
      <c r="A563" s="41"/>
      <c r="B563" s="41"/>
      <c r="C563" s="9"/>
      <c r="D563" s="41"/>
      <c r="F563" s="41"/>
      <c r="G563" s="42"/>
      <c r="H563" s="41"/>
      <c r="I563" s="41"/>
    </row>
    <row r="564">
      <c r="A564" s="41"/>
      <c r="B564" s="41"/>
      <c r="C564" s="9"/>
      <c r="D564" s="41"/>
      <c r="F564" s="41"/>
      <c r="G564" s="42"/>
      <c r="H564" s="41"/>
      <c r="I564" s="41"/>
    </row>
    <row r="565">
      <c r="A565" s="41"/>
      <c r="B565" s="41"/>
      <c r="C565" s="9"/>
      <c r="D565" s="41"/>
      <c r="F565" s="41"/>
      <c r="G565" s="42"/>
      <c r="H565" s="41"/>
      <c r="I565" s="41"/>
    </row>
    <row r="566">
      <c r="A566" s="41"/>
      <c r="B566" s="41"/>
      <c r="C566" s="9"/>
      <c r="D566" s="41"/>
      <c r="F566" s="41"/>
      <c r="G566" s="42"/>
      <c r="H566" s="41"/>
      <c r="I566" s="41"/>
    </row>
    <row r="567">
      <c r="A567" s="41"/>
      <c r="B567" s="41"/>
      <c r="C567" s="9"/>
      <c r="D567" s="41"/>
      <c r="F567" s="41"/>
      <c r="G567" s="42"/>
      <c r="H567" s="41"/>
      <c r="I567" s="41"/>
    </row>
    <row r="568">
      <c r="A568" s="41"/>
      <c r="B568" s="41"/>
      <c r="C568" s="9"/>
      <c r="D568" s="41"/>
      <c r="F568" s="41"/>
      <c r="G568" s="42"/>
      <c r="H568" s="41"/>
      <c r="I568" s="41"/>
    </row>
    <row r="569">
      <c r="A569" s="41"/>
      <c r="B569" s="41"/>
      <c r="C569" s="9"/>
      <c r="D569" s="41"/>
      <c r="F569" s="41"/>
      <c r="G569" s="42"/>
      <c r="H569" s="41"/>
      <c r="I569" s="41"/>
    </row>
    <row r="570">
      <c r="A570" s="41"/>
      <c r="B570" s="41"/>
      <c r="C570" s="9"/>
      <c r="D570" s="41"/>
      <c r="F570" s="41"/>
      <c r="G570" s="42"/>
      <c r="H570" s="41"/>
      <c r="I570" s="41"/>
    </row>
    <row r="571">
      <c r="A571" s="41"/>
      <c r="B571" s="41"/>
      <c r="C571" s="9"/>
      <c r="D571" s="41"/>
      <c r="F571" s="41"/>
      <c r="G571" s="42"/>
      <c r="H571" s="41"/>
      <c r="I571" s="41"/>
    </row>
    <row r="572">
      <c r="A572" s="41"/>
      <c r="B572" s="41"/>
      <c r="C572" s="9"/>
      <c r="D572" s="41"/>
      <c r="F572" s="41"/>
      <c r="G572" s="42"/>
      <c r="H572" s="41"/>
      <c r="I572" s="41"/>
    </row>
    <row r="573">
      <c r="A573" s="41"/>
      <c r="B573" s="41"/>
      <c r="C573" s="9"/>
      <c r="D573" s="41"/>
      <c r="F573" s="41"/>
      <c r="G573" s="42"/>
      <c r="H573" s="41"/>
      <c r="I573" s="41"/>
    </row>
    <row r="574">
      <c r="A574" s="41"/>
      <c r="B574" s="41"/>
      <c r="C574" s="9"/>
      <c r="D574" s="41"/>
      <c r="F574" s="41"/>
      <c r="G574" s="42"/>
      <c r="H574" s="41"/>
      <c r="I574" s="41"/>
    </row>
    <row r="575">
      <c r="A575" s="41"/>
      <c r="B575" s="41"/>
      <c r="C575" s="9"/>
      <c r="D575" s="41"/>
      <c r="F575" s="41"/>
      <c r="G575" s="42"/>
      <c r="H575" s="41"/>
      <c r="I575" s="41"/>
    </row>
    <row r="576">
      <c r="A576" s="41"/>
      <c r="B576" s="41"/>
      <c r="C576" s="9"/>
      <c r="D576" s="41"/>
      <c r="F576" s="41"/>
      <c r="G576" s="42"/>
      <c r="H576" s="41"/>
      <c r="I576" s="41"/>
    </row>
    <row r="577">
      <c r="A577" s="41"/>
      <c r="B577" s="41"/>
      <c r="C577" s="9"/>
      <c r="D577" s="41"/>
      <c r="F577" s="41"/>
      <c r="G577" s="42"/>
      <c r="H577" s="41"/>
      <c r="I577" s="41"/>
    </row>
    <row r="578">
      <c r="A578" s="41"/>
      <c r="B578" s="41"/>
      <c r="C578" s="9"/>
      <c r="D578" s="41"/>
      <c r="F578" s="41"/>
      <c r="G578" s="42"/>
      <c r="H578" s="41"/>
      <c r="I578" s="41"/>
    </row>
    <row r="579">
      <c r="A579" s="41"/>
      <c r="B579" s="41"/>
      <c r="C579" s="9"/>
      <c r="D579" s="41"/>
      <c r="F579" s="41"/>
      <c r="G579" s="42"/>
      <c r="H579" s="41"/>
      <c r="I579" s="41"/>
    </row>
    <row r="580">
      <c r="A580" s="41"/>
      <c r="B580" s="41"/>
      <c r="C580" s="9"/>
      <c r="D580" s="41"/>
      <c r="F580" s="41"/>
      <c r="G580" s="42"/>
      <c r="H580" s="41"/>
      <c r="I580" s="41"/>
    </row>
    <row r="581">
      <c r="A581" s="41"/>
      <c r="B581" s="41"/>
      <c r="C581" s="9"/>
      <c r="D581" s="41"/>
      <c r="F581" s="41"/>
      <c r="G581" s="42"/>
      <c r="H581" s="41"/>
      <c r="I581" s="41"/>
    </row>
    <row r="582">
      <c r="A582" s="41"/>
      <c r="B582" s="41"/>
      <c r="C582" s="9"/>
      <c r="D582" s="41"/>
      <c r="F582" s="41"/>
      <c r="G582" s="42"/>
      <c r="H582" s="41"/>
      <c r="I582" s="41"/>
    </row>
    <row r="583">
      <c r="A583" s="41"/>
      <c r="B583" s="41"/>
      <c r="C583" s="9"/>
      <c r="D583" s="41"/>
      <c r="F583" s="41"/>
      <c r="G583" s="42"/>
      <c r="H583" s="41"/>
      <c r="I583" s="41"/>
    </row>
    <row r="584">
      <c r="A584" s="41"/>
      <c r="B584" s="41"/>
      <c r="C584" s="9"/>
      <c r="D584" s="41"/>
      <c r="F584" s="41"/>
      <c r="G584" s="42"/>
      <c r="H584" s="41"/>
      <c r="I584" s="41"/>
    </row>
    <row r="585">
      <c r="A585" s="41"/>
      <c r="B585" s="41"/>
      <c r="C585" s="9"/>
      <c r="D585" s="41"/>
      <c r="F585" s="41"/>
      <c r="G585" s="42"/>
      <c r="H585" s="41"/>
      <c r="I585" s="41"/>
    </row>
    <row r="586">
      <c r="A586" s="41"/>
      <c r="B586" s="41"/>
      <c r="C586" s="9"/>
      <c r="D586" s="41"/>
      <c r="F586" s="41"/>
      <c r="G586" s="42"/>
      <c r="H586" s="41"/>
      <c r="I586" s="41"/>
    </row>
    <row r="587">
      <c r="A587" s="41"/>
      <c r="B587" s="41"/>
      <c r="C587" s="9"/>
      <c r="D587" s="41"/>
      <c r="F587" s="41"/>
      <c r="G587" s="42"/>
      <c r="H587" s="41"/>
      <c r="I587" s="41"/>
    </row>
    <row r="588">
      <c r="A588" s="41"/>
      <c r="B588" s="41"/>
      <c r="C588" s="9"/>
      <c r="D588" s="41"/>
      <c r="F588" s="41"/>
      <c r="G588" s="42"/>
      <c r="H588" s="41"/>
      <c r="I588" s="41"/>
    </row>
    <row r="589">
      <c r="A589" s="41"/>
      <c r="B589" s="41"/>
      <c r="C589" s="9"/>
      <c r="D589" s="41"/>
      <c r="F589" s="41"/>
      <c r="G589" s="42"/>
      <c r="H589" s="41"/>
      <c r="I589" s="41"/>
    </row>
    <row r="590">
      <c r="A590" s="41"/>
      <c r="B590" s="41"/>
      <c r="C590" s="9"/>
      <c r="D590" s="41"/>
      <c r="F590" s="41"/>
      <c r="G590" s="42"/>
      <c r="H590" s="41"/>
      <c r="I590" s="41"/>
    </row>
    <row r="591">
      <c r="A591" s="41"/>
      <c r="B591" s="41"/>
      <c r="C591" s="9"/>
      <c r="D591" s="41"/>
      <c r="F591" s="41"/>
      <c r="G591" s="42"/>
      <c r="H591" s="41"/>
      <c r="I591" s="41"/>
    </row>
    <row r="592">
      <c r="A592" s="41"/>
      <c r="B592" s="41"/>
      <c r="C592" s="9"/>
      <c r="D592" s="41"/>
      <c r="F592" s="41"/>
      <c r="G592" s="42"/>
      <c r="H592" s="41"/>
      <c r="I592" s="41"/>
    </row>
    <row r="593">
      <c r="A593" s="41"/>
      <c r="B593" s="41"/>
      <c r="C593" s="9"/>
      <c r="D593" s="41"/>
      <c r="F593" s="41"/>
      <c r="G593" s="42"/>
      <c r="H593" s="41"/>
      <c r="I593" s="41"/>
    </row>
    <row r="594">
      <c r="A594" s="41"/>
      <c r="B594" s="41"/>
      <c r="C594" s="9"/>
      <c r="D594" s="41"/>
      <c r="F594" s="41"/>
      <c r="G594" s="42"/>
      <c r="H594" s="41"/>
      <c r="I594" s="41"/>
    </row>
    <row r="595">
      <c r="A595" s="41"/>
      <c r="B595" s="41"/>
      <c r="C595" s="9"/>
      <c r="D595" s="41"/>
      <c r="F595" s="41"/>
      <c r="G595" s="42"/>
      <c r="H595" s="41"/>
      <c r="I595" s="41"/>
    </row>
    <row r="596">
      <c r="A596" s="41"/>
      <c r="B596" s="41"/>
      <c r="C596" s="9"/>
      <c r="D596" s="41"/>
      <c r="F596" s="41"/>
      <c r="G596" s="42"/>
      <c r="H596" s="41"/>
      <c r="I596" s="41"/>
    </row>
    <row r="597">
      <c r="A597" s="41"/>
      <c r="B597" s="41"/>
      <c r="C597" s="9"/>
      <c r="D597" s="41"/>
      <c r="F597" s="41"/>
      <c r="G597" s="42"/>
      <c r="H597" s="41"/>
      <c r="I597" s="41"/>
    </row>
    <row r="598">
      <c r="A598" s="41"/>
      <c r="B598" s="41"/>
      <c r="C598" s="9"/>
      <c r="D598" s="41"/>
      <c r="F598" s="41"/>
      <c r="G598" s="42"/>
      <c r="H598" s="41"/>
      <c r="I598" s="41"/>
    </row>
    <row r="599">
      <c r="A599" s="41"/>
      <c r="B599" s="41"/>
      <c r="C599" s="9"/>
      <c r="D599" s="41"/>
      <c r="F599" s="41"/>
      <c r="G599" s="42"/>
      <c r="H599" s="41"/>
      <c r="I599" s="41"/>
    </row>
    <row r="600">
      <c r="A600" s="41"/>
      <c r="B600" s="41"/>
      <c r="C600" s="9"/>
      <c r="D600" s="41"/>
      <c r="F600" s="41"/>
      <c r="G600" s="42"/>
      <c r="H600" s="41"/>
      <c r="I600" s="41"/>
    </row>
    <row r="601">
      <c r="A601" s="41"/>
      <c r="B601" s="41"/>
      <c r="C601" s="9"/>
      <c r="D601" s="41"/>
      <c r="F601" s="41"/>
      <c r="G601" s="42"/>
      <c r="H601" s="41"/>
      <c r="I601" s="41"/>
    </row>
    <row r="602">
      <c r="A602" s="41"/>
      <c r="B602" s="41"/>
      <c r="C602" s="9"/>
      <c r="D602" s="41"/>
      <c r="F602" s="41"/>
      <c r="G602" s="42"/>
      <c r="H602" s="41"/>
      <c r="I602" s="41"/>
    </row>
    <row r="603">
      <c r="A603" s="41"/>
      <c r="B603" s="41"/>
      <c r="C603" s="9"/>
      <c r="D603" s="41"/>
      <c r="F603" s="41"/>
      <c r="G603" s="42"/>
      <c r="H603" s="41"/>
      <c r="I603" s="41"/>
    </row>
    <row r="604">
      <c r="A604" s="41"/>
      <c r="B604" s="41"/>
      <c r="C604" s="9"/>
      <c r="D604" s="41"/>
      <c r="F604" s="41"/>
      <c r="G604" s="42"/>
      <c r="H604" s="41"/>
      <c r="I604" s="41"/>
    </row>
    <row r="605">
      <c r="A605" s="41"/>
      <c r="B605" s="41"/>
      <c r="C605" s="9"/>
      <c r="D605" s="41"/>
      <c r="F605" s="41"/>
      <c r="G605" s="42"/>
      <c r="H605" s="41"/>
      <c r="I605" s="41"/>
    </row>
    <row r="606">
      <c r="A606" s="41"/>
      <c r="B606" s="41"/>
      <c r="C606" s="9"/>
      <c r="D606" s="41"/>
      <c r="F606" s="41"/>
      <c r="G606" s="42"/>
      <c r="H606" s="41"/>
      <c r="I606" s="41"/>
    </row>
    <row r="607">
      <c r="A607" s="41"/>
      <c r="B607" s="41"/>
      <c r="C607" s="9"/>
      <c r="D607" s="41"/>
      <c r="F607" s="41"/>
      <c r="G607" s="42"/>
      <c r="H607" s="41"/>
      <c r="I607" s="41"/>
    </row>
    <row r="608">
      <c r="A608" s="41"/>
      <c r="B608" s="41"/>
      <c r="C608" s="9"/>
      <c r="D608" s="41"/>
      <c r="F608" s="41"/>
      <c r="G608" s="42"/>
      <c r="H608" s="41"/>
      <c r="I608" s="41"/>
    </row>
    <row r="609">
      <c r="A609" s="41"/>
      <c r="B609" s="41"/>
      <c r="C609" s="9"/>
      <c r="D609" s="41"/>
      <c r="F609" s="41"/>
      <c r="G609" s="42"/>
      <c r="H609" s="41"/>
      <c r="I609" s="41"/>
    </row>
    <row r="610">
      <c r="A610" s="41"/>
      <c r="B610" s="41"/>
      <c r="C610" s="9"/>
      <c r="D610" s="41"/>
      <c r="F610" s="41"/>
      <c r="G610" s="42"/>
      <c r="H610" s="41"/>
      <c r="I610" s="41"/>
    </row>
    <row r="611">
      <c r="A611" s="41"/>
      <c r="B611" s="41"/>
      <c r="C611" s="9"/>
      <c r="D611" s="41"/>
      <c r="F611" s="41"/>
      <c r="G611" s="42"/>
      <c r="H611" s="41"/>
      <c r="I611" s="41"/>
    </row>
    <row r="612">
      <c r="A612" s="41"/>
      <c r="B612" s="41"/>
      <c r="C612" s="9"/>
      <c r="D612" s="41"/>
      <c r="F612" s="41"/>
      <c r="G612" s="42"/>
      <c r="H612" s="41"/>
      <c r="I612" s="41"/>
    </row>
    <row r="613">
      <c r="A613" s="41"/>
      <c r="B613" s="41"/>
      <c r="C613" s="9"/>
      <c r="D613" s="41"/>
      <c r="F613" s="41"/>
      <c r="G613" s="42"/>
      <c r="H613" s="41"/>
      <c r="I613" s="41"/>
    </row>
    <row r="614">
      <c r="A614" s="41"/>
      <c r="B614" s="41"/>
      <c r="C614" s="9"/>
      <c r="D614" s="41"/>
      <c r="F614" s="41"/>
      <c r="G614" s="42"/>
      <c r="H614" s="41"/>
      <c r="I614" s="41"/>
    </row>
    <row r="615">
      <c r="A615" s="41"/>
      <c r="B615" s="41"/>
      <c r="C615" s="9"/>
      <c r="D615" s="41"/>
      <c r="F615" s="41"/>
      <c r="G615" s="42"/>
      <c r="H615" s="41"/>
      <c r="I615" s="41"/>
    </row>
    <row r="616">
      <c r="A616" s="41"/>
      <c r="B616" s="41"/>
      <c r="C616" s="9"/>
      <c r="D616" s="41"/>
      <c r="F616" s="41"/>
      <c r="G616" s="42"/>
      <c r="H616" s="41"/>
      <c r="I616" s="41"/>
    </row>
    <row r="617">
      <c r="A617" s="41"/>
      <c r="B617" s="41"/>
      <c r="C617" s="9"/>
      <c r="D617" s="41"/>
      <c r="F617" s="41"/>
      <c r="G617" s="42"/>
      <c r="H617" s="41"/>
      <c r="I617" s="41"/>
    </row>
    <row r="618">
      <c r="A618" s="41"/>
      <c r="B618" s="41"/>
      <c r="C618" s="9"/>
      <c r="D618" s="41"/>
      <c r="F618" s="41"/>
      <c r="G618" s="42"/>
      <c r="H618" s="41"/>
      <c r="I618" s="41"/>
    </row>
    <row r="619">
      <c r="A619" s="41"/>
      <c r="B619" s="41"/>
      <c r="C619" s="9"/>
      <c r="D619" s="41"/>
      <c r="F619" s="41"/>
      <c r="G619" s="42"/>
      <c r="H619" s="41"/>
      <c r="I619" s="41"/>
    </row>
    <row r="620">
      <c r="A620" s="41"/>
      <c r="B620" s="41"/>
      <c r="C620" s="9"/>
      <c r="D620" s="41"/>
      <c r="F620" s="41"/>
      <c r="G620" s="42"/>
      <c r="H620" s="41"/>
      <c r="I620" s="41"/>
    </row>
    <row r="621">
      <c r="A621" s="41"/>
      <c r="B621" s="41"/>
      <c r="C621" s="9"/>
      <c r="D621" s="41"/>
      <c r="F621" s="41"/>
      <c r="G621" s="42"/>
      <c r="H621" s="41"/>
      <c r="I621" s="41"/>
    </row>
    <row r="622">
      <c r="A622" s="41"/>
      <c r="B622" s="41"/>
      <c r="C622" s="9"/>
      <c r="D622" s="41"/>
      <c r="F622" s="41"/>
      <c r="G622" s="42"/>
      <c r="H622" s="41"/>
      <c r="I622" s="41"/>
    </row>
    <row r="623">
      <c r="A623" s="41"/>
      <c r="B623" s="41"/>
      <c r="C623" s="9"/>
      <c r="D623" s="41"/>
      <c r="F623" s="41"/>
      <c r="G623" s="42"/>
      <c r="H623" s="41"/>
      <c r="I623" s="41"/>
    </row>
    <row r="624">
      <c r="A624" s="41"/>
      <c r="B624" s="41"/>
      <c r="C624" s="9"/>
      <c r="D624" s="41"/>
      <c r="F624" s="41"/>
      <c r="G624" s="42"/>
      <c r="H624" s="41"/>
      <c r="I624" s="41"/>
    </row>
    <row r="625">
      <c r="A625" s="41"/>
      <c r="B625" s="41"/>
      <c r="C625" s="9"/>
      <c r="D625" s="41"/>
      <c r="F625" s="41"/>
      <c r="G625" s="42"/>
      <c r="H625" s="41"/>
      <c r="I625" s="41"/>
    </row>
    <row r="626">
      <c r="A626" s="41"/>
      <c r="B626" s="41"/>
      <c r="C626" s="9"/>
      <c r="D626" s="41"/>
      <c r="F626" s="41"/>
      <c r="G626" s="42"/>
      <c r="H626" s="41"/>
      <c r="I626" s="41"/>
    </row>
    <row r="627">
      <c r="A627" s="41"/>
      <c r="B627" s="41"/>
      <c r="C627" s="9"/>
      <c r="D627" s="41"/>
      <c r="F627" s="41"/>
      <c r="G627" s="42"/>
      <c r="H627" s="41"/>
      <c r="I627" s="41"/>
    </row>
    <row r="628">
      <c r="A628" s="41"/>
      <c r="B628" s="41"/>
      <c r="C628" s="9"/>
      <c r="D628" s="41"/>
      <c r="F628" s="41"/>
      <c r="G628" s="42"/>
      <c r="H628" s="41"/>
      <c r="I628" s="41"/>
    </row>
    <row r="629">
      <c r="A629" s="41"/>
      <c r="B629" s="41"/>
      <c r="C629" s="9"/>
      <c r="D629" s="41"/>
      <c r="F629" s="41"/>
      <c r="G629" s="42"/>
      <c r="H629" s="41"/>
      <c r="I629" s="41"/>
    </row>
    <row r="630">
      <c r="A630" s="41"/>
      <c r="B630" s="41"/>
      <c r="C630" s="9"/>
      <c r="D630" s="41"/>
      <c r="F630" s="41"/>
      <c r="G630" s="42"/>
      <c r="H630" s="41"/>
      <c r="I630" s="41"/>
    </row>
    <row r="631">
      <c r="A631" s="41"/>
      <c r="B631" s="41"/>
      <c r="C631" s="9"/>
      <c r="D631" s="41"/>
      <c r="F631" s="41"/>
      <c r="G631" s="42"/>
      <c r="H631" s="41"/>
      <c r="I631" s="41"/>
    </row>
    <row r="632">
      <c r="A632" s="41"/>
      <c r="B632" s="41"/>
      <c r="C632" s="9"/>
      <c r="D632" s="41"/>
      <c r="F632" s="41"/>
      <c r="G632" s="42"/>
      <c r="H632" s="41"/>
      <c r="I632" s="41"/>
    </row>
    <row r="633">
      <c r="A633" s="41"/>
      <c r="B633" s="41"/>
      <c r="C633" s="9"/>
      <c r="D633" s="41"/>
      <c r="F633" s="41"/>
      <c r="G633" s="42"/>
      <c r="H633" s="41"/>
      <c r="I633" s="41"/>
    </row>
    <row r="634">
      <c r="A634" s="41"/>
      <c r="B634" s="41"/>
      <c r="C634" s="9"/>
      <c r="D634" s="41"/>
      <c r="F634" s="41"/>
      <c r="G634" s="42"/>
      <c r="H634" s="41"/>
      <c r="I634" s="41"/>
    </row>
    <row r="635">
      <c r="A635" s="41"/>
      <c r="B635" s="41"/>
      <c r="C635" s="9"/>
      <c r="D635" s="41"/>
      <c r="F635" s="41"/>
      <c r="G635" s="42"/>
      <c r="H635" s="41"/>
      <c r="I635" s="41"/>
    </row>
    <row r="636">
      <c r="A636" s="41"/>
      <c r="B636" s="41"/>
      <c r="C636" s="9"/>
      <c r="D636" s="41"/>
      <c r="F636" s="41"/>
      <c r="G636" s="42"/>
      <c r="H636" s="41"/>
      <c r="I636" s="41"/>
    </row>
    <row r="637">
      <c r="A637" s="41"/>
      <c r="B637" s="41"/>
      <c r="C637" s="9"/>
      <c r="D637" s="41"/>
      <c r="F637" s="41"/>
      <c r="G637" s="42"/>
      <c r="H637" s="41"/>
      <c r="I637" s="41"/>
    </row>
    <row r="638">
      <c r="A638" s="41"/>
      <c r="B638" s="41"/>
      <c r="C638" s="9"/>
      <c r="D638" s="41"/>
      <c r="F638" s="41"/>
      <c r="G638" s="42"/>
      <c r="H638" s="41"/>
      <c r="I638" s="41"/>
    </row>
    <row r="639">
      <c r="A639" s="41"/>
      <c r="B639" s="41"/>
      <c r="C639" s="9"/>
      <c r="D639" s="41"/>
      <c r="F639" s="41"/>
      <c r="G639" s="42"/>
      <c r="H639" s="41"/>
      <c r="I639" s="41"/>
    </row>
    <row r="640">
      <c r="A640" s="41"/>
      <c r="B640" s="41"/>
      <c r="C640" s="9"/>
      <c r="D640" s="41"/>
      <c r="F640" s="41"/>
      <c r="G640" s="42"/>
      <c r="H640" s="41"/>
      <c r="I640" s="41"/>
    </row>
    <row r="641">
      <c r="A641" s="41"/>
      <c r="B641" s="41"/>
      <c r="C641" s="9"/>
      <c r="D641" s="41"/>
      <c r="F641" s="41"/>
      <c r="G641" s="42"/>
      <c r="H641" s="41"/>
      <c r="I641" s="41"/>
    </row>
    <row r="642">
      <c r="A642" s="41"/>
      <c r="B642" s="41"/>
      <c r="C642" s="9"/>
      <c r="D642" s="41"/>
      <c r="F642" s="41"/>
      <c r="G642" s="42"/>
      <c r="H642" s="41"/>
      <c r="I642" s="41"/>
    </row>
    <row r="643">
      <c r="A643" s="41"/>
      <c r="B643" s="41"/>
      <c r="C643" s="9"/>
      <c r="D643" s="41"/>
      <c r="F643" s="41"/>
      <c r="G643" s="42"/>
      <c r="H643" s="41"/>
      <c r="I643" s="41"/>
    </row>
    <row r="644">
      <c r="A644" s="41"/>
      <c r="B644" s="41"/>
      <c r="C644" s="9"/>
      <c r="D644" s="41"/>
      <c r="F644" s="41"/>
      <c r="G644" s="42"/>
      <c r="H644" s="41"/>
      <c r="I644" s="41"/>
    </row>
    <row r="645">
      <c r="A645" s="41"/>
      <c r="B645" s="41"/>
      <c r="C645" s="9"/>
      <c r="D645" s="41"/>
      <c r="F645" s="41"/>
      <c r="G645" s="42"/>
      <c r="H645" s="41"/>
      <c r="I645" s="41"/>
    </row>
    <row r="646">
      <c r="A646" s="41"/>
      <c r="B646" s="41"/>
      <c r="C646" s="9"/>
      <c r="D646" s="41"/>
      <c r="F646" s="41"/>
      <c r="G646" s="42"/>
      <c r="H646" s="41"/>
      <c r="I646" s="41"/>
    </row>
    <row r="647">
      <c r="A647" s="41"/>
      <c r="B647" s="41"/>
      <c r="C647" s="9"/>
      <c r="D647" s="41"/>
      <c r="F647" s="41"/>
      <c r="G647" s="42"/>
      <c r="H647" s="41"/>
      <c r="I647" s="41"/>
    </row>
    <row r="648">
      <c r="A648" s="41"/>
      <c r="B648" s="41"/>
      <c r="C648" s="9"/>
      <c r="D648" s="41"/>
      <c r="F648" s="41"/>
      <c r="G648" s="42"/>
      <c r="H648" s="41"/>
      <c r="I648" s="41"/>
    </row>
    <row r="649">
      <c r="A649" s="41"/>
      <c r="B649" s="41"/>
      <c r="C649" s="9"/>
      <c r="D649" s="41"/>
      <c r="F649" s="41"/>
      <c r="G649" s="42"/>
      <c r="H649" s="41"/>
      <c r="I649" s="41"/>
    </row>
    <row r="650">
      <c r="A650" s="41"/>
      <c r="B650" s="41"/>
      <c r="C650" s="9"/>
      <c r="D650" s="41"/>
      <c r="F650" s="41"/>
      <c r="G650" s="42"/>
      <c r="H650" s="41"/>
      <c r="I650" s="41"/>
    </row>
    <row r="651">
      <c r="A651" s="41"/>
      <c r="B651" s="41"/>
      <c r="C651" s="9"/>
      <c r="D651" s="41"/>
      <c r="F651" s="41"/>
      <c r="G651" s="42"/>
      <c r="H651" s="41"/>
      <c r="I651" s="41"/>
    </row>
    <row r="652">
      <c r="A652" s="41"/>
      <c r="B652" s="41"/>
      <c r="C652" s="9"/>
      <c r="D652" s="41"/>
      <c r="F652" s="41"/>
      <c r="G652" s="42"/>
      <c r="H652" s="41"/>
      <c r="I652" s="41"/>
    </row>
    <row r="653">
      <c r="A653" s="41"/>
      <c r="B653" s="41"/>
      <c r="C653" s="9"/>
      <c r="D653" s="41"/>
      <c r="F653" s="41"/>
      <c r="G653" s="42"/>
      <c r="H653" s="41"/>
      <c r="I653" s="41"/>
    </row>
    <row r="654">
      <c r="A654" s="41"/>
      <c r="B654" s="41"/>
      <c r="C654" s="9"/>
      <c r="D654" s="41"/>
      <c r="F654" s="41"/>
      <c r="G654" s="42"/>
      <c r="H654" s="41"/>
      <c r="I654" s="41"/>
    </row>
    <row r="655">
      <c r="A655" s="41"/>
      <c r="B655" s="41"/>
      <c r="C655" s="9"/>
      <c r="D655" s="41"/>
      <c r="F655" s="41"/>
      <c r="G655" s="42"/>
      <c r="H655" s="41"/>
      <c r="I655" s="41"/>
    </row>
    <row r="656">
      <c r="A656" s="41"/>
      <c r="B656" s="41"/>
      <c r="C656" s="9"/>
      <c r="D656" s="41"/>
      <c r="F656" s="41"/>
      <c r="G656" s="42"/>
      <c r="H656" s="41"/>
      <c r="I656" s="41"/>
    </row>
    <row r="657">
      <c r="A657" s="41"/>
      <c r="B657" s="41"/>
      <c r="C657" s="9"/>
      <c r="D657" s="41"/>
      <c r="F657" s="41"/>
      <c r="G657" s="42"/>
      <c r="H657" s="41"/>
      <c r="I657" s="41"/>
    </row>
    <row r="658">
      <c r="A658" s="41"/>
      <c r="B658" s="41"/>
      <c r="C658" s="9"/>
      <c r="D658" s="41"/>
      <c r="F658" s="41"/>
      <c r="G658" s="42"/>
      <c r="H658" s="41"/>
      <c r="I658" s="41"/>
    </row>
    <row r="659">
      <c r="A659" s="41"/>
      <c r="B659" s="41"/>
      <c r="C659" s="9"/>
      <c r="D659" s="41"/>
      <c r="F659" s="41"/>
      <c r="G659" s="42"/>
      <c r="H659" s="41"/>
      <c r="I659" s="41"/>
    </row>
    <row r="660">
      <c r="A660" s="41"/>
      <c r="B660" s="41"/>
      <c r="C660" s="9"/>
      <c r="D660" s="41"/>
      <c r="F660" s="41"/>
      <c r="G660" s="42"/>
      <c r="H660" s="41"/>
      <c r="I660" s="41"/>
    </row>
    <row r="661">
      <c r="A661" s="41"/>
      <c r="B661" s="41"/>
      <c r="C661" s="9"/>
      <c r="D661" s="41"/>
      <c r="F661" s="41"/>
      <c r="G661" s="42"/>
      <c r="H661" s="41"/>
      <c r="I661" s="41"/>
    </row>
    <row r="662">
      <c r="A662" s="41"/>
      <c r="B662" s="41"/>
      <c r="C662" s="9"/>
      <c r="D662" s="41"/>
      <c r="F662" s="41"/>
      <c r="G662" s="42"/>
      <c r="H662" s="41"/>
      <c r="I662" s="41"/>
    </row>
    <row r="663">
      <c r="A663" s="41"/>
      <c r="B663" s="41"/>
      <c r="C663" s="9"/>
      <c r="D663" s="41"/>
      <c r="F663" s="41"/>
      <c r="G663" s="42"/>
      <c r="H663" s="41"/>
      <c r="I663" s="41"/>
    </row>
    <row r="664">
      <c r="A664" s="41"/>
      <c r="B664" s="41"/>
      <c r="C664" s="9"/>
      <c r="D664" s="41"/>
      <c r="F664" s="41"/>
      <c r="G664" s="42"/>
      <c r="H664" s="41"/>
      <c r="I664" s="41"/>
    </row>
    <row r="665">
      <c r="A665" s="41"/>
      <c r="B665" s="41"/>
      <c r="C665" s="9"/>
      <c r="D665" s="41"/>
      <c r="F665" s="41"/>
      <c r="G665" s="42"/>
      <c r="H665" s="41"/>
      <c r="I665" s="41"/>
    </row>
    <row r="666">
      <c r="A666" s="41"/>
      <c r="B666" s="41"/>
      <c r="C666" s="9"/>
      <c r="D666" s="41"/>
      <c r="F666" s="41"/>
      <c r="G666" s="42"/>
      <c r="H666" s="41"/>
      <c r="I666" s="41"/>
    </row>
    <row r="667">
      <c r="A667" s="41"/>
      <c r="B667" s="41"/>
      <c r="C667" s="9"/>
      <c r="D667" s="41"/>
      <c r="F667" s="41"/>
      <c r="G667" s="42"/>
      <c r="H667" s="41"/>
      <c r="I667" s="41"/>
    </row>
    <row r="668">
      <c r="A668" s="41"/>
      <c r="B668" s="41"/>
      <c r="C668" s="9"/>
      <c r="D668" s="41"/>
      <c r="F668" s="41"/>
      <c r="G668" s="42"/>
      <c r="H668" s="41"/>
      <c r="I668" s="41"/>
    </row>
    <row r="669">
      <c r="A669" s="41"/>
      <c r="B669" s="41"/>
      <c r="C669" s="9"/>
      <c r="D669" s="41"/>
      <c r="F669" s="41"/>
      <c r="G669" s="42"/>
      <c r="H669" s="41"/>
      <c r="I669" s="41"/>
    </row>
    <row r="670">
      <c r="A670" s="41"/>
      <c r="B670" s="41"/>
      <c r="C670" s="9"/>
      <c r="D670" s="41"/>
      <c r="F670" s="41"/>
      <c r="G670" s="42"/>
      <c r="H670" s="41"/>
      <c r="I670" s="41"/>
    </row>
    <row r="671">
      <c r="A671" s="41"/>
      <c r="B671" s="41"/>
      <c r="C671" s="9"/>
      <c r="D671" s="41"/>
      <c r="F671" s="41"/>
      <c r="G671" s="42"/>
      <c r="H671" s="41"/>
      <c r="I671" s="41"/>
    </row>
    <row r="672">
      <c r="A672" s="41"/>
      <c r="B672" s="41"/>
      <c r="C672" s="9"/>
      <c r="D672" s="41"/>
      <c r="F672" s="41"/>
      <c r="G672" s="42"/>
      <c r="H672" s="41"/>
      <c r="I672" s="41"/>
    </row>
    <row r="673">
      <c r="A673" s="41"/>
      <c r="B673" s="41"/>
      <c r="C673" s="9"/>
      <c r="D673" s="41"/>
      <c r="F673" s="41"/>
      <c r="G673" s="42"/>
      <c r="H673" s="41"/>
      <c r="I673" s="41"/>
    </row>
    <row r="674">
      <c r="A674" s="41"/>
      <c r="B674" s="41"/>
      <c r="C674" s="9"/>
      <c r="D674" s="41"/>
      <c r="F674" s="41"/>
      <c r="G674" s="42"/>
      <c r="H674" s="41"/>
      <c r="I674" s="41"/>
    </row>
    <row r="675">
      <c r="A675" s="41"/>
      <c r="B675" s="41"/>
      <c r="C675" s="9"/>
      <c r="D675" s="41"/>
      <c r="F675" s="41"/>
      <c r="G675" s="42"/>
      <c r="H675" s="41"/>
      <c r="I675" s="41"/>
    </row>
    <row r="676">
      <c r="A676" s="41"/>
      <c r="B676" s="41"/>
      <c r="C676" s="9"/>
      <c r="D676" s="41"/>
      <c r="F676" s="41"/>
      <c r="G676" s="42"/>
      <c r="H676" s="41"/>
      <c r="I676" s="41"/>
    </row>
    <row r="677">
      <c r="A677" s="41"/>
      <c r="B677" s="41"/>
      <c r="C677" s="9"/>
      <c r="D677" s="41"/>
      <c r="F677" s="41"/>
      <c r="G677" s="42"/>
      <c r="H677" s="41"/>
      <c r="I677" s="41"/>
    </row>
    <row r="678">
      <c r="A678" s="41"/>
      <c r="B678" s="41"/>
      <c r="C678" s="9"/>
      <c r="D678" s="41"/>
      <c r="F678" s="41"/>
      <c r="G678" s="42"/>
      <c r="H678" s="41"/>
      <c r="I678" s="41"/>
    </row>
    <row r="679">
      <c r="A679" s="41"/>
      <c r="B679" s="41"/>
      <c r="C679" s="9"/>
      <c r="D679" s="41"/>
      <c r="F679" s="41"/>
      <c r="G679" s="42"/>
      <c r="H679" s="41"/>
      <c r="I679" s="41"/>
    </row>
    <row r="680">
      <c r="A680" s="41"/>
      <c r="B680" s="41"/>
      <c r="C680" s="9"/>
      <c r="D680" s="41"/>
      <c r="F680" s="41"/>
      <c r="G680" s="42"/>
      <c r="H680" s="41"/>
      <c r="I680" s="41"/>
    </row>
    <row r="681">
      <c r="A681" s="41"/>
      <c r="B681" s="41"/>
      <c r="C681" s="9"/>
      <c r="D681" s="41"/>
      <c r="F681" s="41"/>
      <c r="G681" s="42"/>
      <c r="H681" s="41"/>
      <c r="I681" s="41"/>
    </row>
    <row r="682">
      <c r="A682" s="41"/>
      <c r="B682" s="41"/>
      <c r="C682" s="9"/>
      <c r="D682" s="41"/>
      <c r="F682" s="41"/>
      <c r="G682" s="42"/>
      <c r="H682" s="41"/>
      <c r="I682" s="41"/>
    </row>
    <row r="683">
      <c r="A683" s="41"/>
      <c r="B683" s="41"/>
      <c r="C683" s="9"/>
      <c r="D683" s="41"/>
      <c r="F683" s="41"/>
      <c r="G683" s="42"/>
      <c r="H683" s="41"/>
      <c r="I683" s="41"/>
    </row>
    <row r="684">
      <c r="A684" s="41"/>
      <c r="B684" s="41"/>
      <c r="C684" s="9"/>
      <c r="D684" s="41"/>
      <c r="F684" s="41"/>
      <c r="G684" s="42"/>
      <c r="H684" s="41"/>
      <c r="I684" s="41"/>
    </row>
    <row r="685">
      <c r="A685" s="41"/>
      <c r="B685" s="41"/>
      <c r="C685" s="9"/>
      <c r="D685" s="41"/>
      <c r="F685" s="41"/>
      <c r="G685" s="42"/>
      <c r="H685" s="41"/>
      <c r="I685" s="41"/>
    </row>
    <row r="686">
      <c r="A686" s="41"/>
      <c r="B686" s="41"/>
      <c r="C686" s="9"/>
      <c r="D686" s="41"/>
      <c r="F686" s="41"/>
      <c r="G686" s="42"/>
      <c r="H686" s="41"/>
      <c r="I686" s="41"/>
    </row>
    <row r="687">
      <c r="A687" s="41"/>
      <c r="B687" s="41"/>
      <c r="C687" s="9"/>
      <c r="D687" s="41"/>
      <c r="F687" s="41"/>
      <c r="G687" s="42"/>
      <c r="H687" s="41"/>
      <c r="I687" s="41"/>
    </row>
    <row r="688">
      <c r="A688" s="41"/>
      <c r="B688" s="41"/>
      <c r="C688" s="9"/>
      <c r="D688" s="41"/>
      <c r="F688" s="41"/>
      <c r="G688" s="42"/>
      <c r="H688" s="41"/>
      <c r="I688" s="41"/>
    </row>
    <row r="689">
      <c r="A689" s="41"/>
      <c r="B689" s="41"/>
      <c r="C689" s="9"/>
      <c r="D689" s="41"/>
      <c r="F689" s="41"/>
      <c r="G689" s="42"/>
      <c r="H689" s="41"/>
      <c r="I689" s="41"/>
    </row>
    <row r="690">
      <c r="A690" s="41"/>
      <c r="B690" s="41"/>
      <c r="C690" s="9"/>
      <c r="D690" s="41"/>
      <c r="F690" s="41"/>
      <c r="G690" s="42"/>
      <c r="H690" s="41"/>
      <c r="I690" s="41"/>
    </row>
    <row r="691">
      <c r="A691" s="41"/>
      <c r="B691" s="41"/>
      <c r="C691" s="9"/>
      <c r="D691" s="41"/>
      <c r="F691" s="41"/>
      <c r="G691" s="42"/>
      <c r="H691" s="41"/>
      <c r="I691" s="41"/>
    </row>
    <row r="692">
      <c r="A692" s="41"/>
      <c r="B692" s="41"/>
      <c r="C692" s="9"/>
      <c r="D692" s="41"/>
      <c r="F692" s="41"/>
      <c r="G692" s="42"/>
      <c r="H692" s="41"/>
      <c r="I692" s="41"/>
    </row>
    <row r="693">
      <c r="A693" s="41"/>
      <c r="B693" s="41"/>
      <c r="C693" s="9"/>
      <c r="D693" s="41"/>
      <c r="F693" s="41"/>
      <c r="G693" s="42"/>
      <c r="H693" s="41"/>
      <c r="I693" s="41"/>
    </row>
    <row r="694">
      <c r="A694" s="41"/>
      <c r="B694" s="41"/>
      <c r="C694" s="9"/>
      <c r="D694" s="41"/>
      <c r="F694" s="41"/>
      <c r="G694" s="42"/>
      <c r="H694" s="41"/>
      <c r="I694" s="41"/>
    </row>
    <row r="695">
      <c r="A695" s="41"/>
      <c r="B695" s="41"/>
      <c r="C695" s="9"/>
      <c r="D695" s="41"/>
      <c r="F695" s="41"/>
      <c r="G695" s="42"/>
      <c r="H695" s="41"/>
      <c r="I695" s="41"/>
    </row>
    <row r="696">
      <c r="A696" s="41"/>
      <c r="B696" s="41"/>
      <c r="C696" s="9"/>
      <c r="D696" s="41"/>
      <c r="F696" s="41"/>
      <c r="G696" s="42"/>
      <c r="H696" s="41"/>
      <c r="I696" s="41"/>
    </row>
    <row r="697">
      <c r="A697" s="41"/>
      <c r="B697" s="41"/>
      <c r="C697" s="9"/>
      <c r="D697" s="41"/>
      <c r="F697" s="41"/>
      <c r="G697" s="42"/>
      <c r="H697" s="41"/>
      <c r="I697" s="41"/>
    </row>
    <row r="698">
      <c r="A698" s="41"/>
      <c r="B698" s="41"/>
      <c r="C698" s="9"/>
      <c r="D698" s="41"/>
      <c r="F698" s="41"/>
      <c r="G698" s="42"/>
      <c r="H698" s="41"/>
      <c r="I698" s="41"/>
    </row>
    <row r="699">
      <c r="A699" s="41"/>
      <c r="B699" s="41"/>
      <c r="C699" s="9"/>
      <c r="D699" s="41"/>
      <c r="F699" s="41"/>
      <c r="G699" s="42"/>
      <c r="H699" s="41"/>
      <c r="I699" s="41"/>
    </row>
    <row r="700">
      <c r="A700" s="41"/>
      <c r="B700" s="41"/>
      <c r="C700" s="9"/>
      <c r="D700" s="41"/>
      <c r="F700" s="41"/>
      <c r="G700" s="42"/>
      <c r="H700" s="41"/>
      <c r="I700" s="41"/>
    </row>
    <row r="701">
      <c r="A701" s="41"/>
      <c r="B701" s="41"/>
      <c r="C701" s="9"/>
      <c r="D701" s="41"/>
      <c r="F701" s="41"/>
      <c r="G701" s="42"/>
      <c r="H701" s="41"/>
      <c r="I701" s="41"/>
    </row>
    <row r="702">
      <c r="A702" s="41"/>
      <c r="B702" s="41"/>
      <c r="C702" s="9"/>
      <c r="D702" s="41"/>
      <c r="F702" s="41"/>
      <c r="G702" s="42"/>
      <c r="H702" s="41"/>
      <c r="I702" s="41"/>
    </row>
    <row r="703">
      <c r="A703" s="41"/>
      <c r="B703" s="41"/>
      <c r="C703" s="9"/>
      <c r="D703" s="41"/>
      <c r="F703" s="41"/>
      <c r="G703" s="42"/>
      <c r="H703" s="41"/>
      <c r="I703" s="41"/>
    </row>
    <row r="704">
      <c r="A704" s="41"/>
      <c r="B704" s="41"/>
      <c r="C704" s="9"/>
      <c r="D704" s="41"/>
      <c r="F704" s="41"/>
      <c r="G704" s="42"/>
      <c r="H704" s="41"/>
      <c r="I704" s="41"/>
    </row>
    <row r="705">
      <c r="A705" s="41"/>
      <c r="B705" s="41"/>
      <c r="C705" s="9"/>
      <c r="D705" s="41"/>
      <c r="F705" s="41"/>
      <c r="G705" s="42"/>
      <c r="H705" s="41"/>
      <c r="I705" s="41"/>
    </row>
    <row r="706">
      <c r="A706" s="41"/>
      <c r="B706" s="41"/>
      <c r="C706" s="9"/>
      <c r="D706" s="41"/>
      <c r="F706" s="41"/>
      <c r="G706" s="42"/>
      <c r="H706" s="41"/>
      <c r="I706" s="41"/>
    </row>
    <row r="707">
      <c r="A707" s="41"/>
      <c r="B707" s="41"/>
      <c r="C707" s="9"/>
      <c r="D707" s="41"/>
      <c r="F707" s="41"/>
      <c r="G707" s="42"/>
      <c r="H707" s="41"/>
      <c r="I707" s="41"/>
    </row>
    <row r="708">
      <c r="A708" s="41"/>
      <c r="B708" s="41"/>
      <c r="C708" s="9"/>
      <c r="D708" s="41"/>
      <c r="F708" s="41"/>
      <c r="G708" s="42"/>
      <c r="H708" s="41"/>
      <c r="I708" s="41"/>
    </row>
    <row r="709">
      <c r="A709" s="41"/>
      <c r="B709" s="41"/>
      <c r="C709" s="9"/>
      <c r="D709" s="41"/>
      <c r="F709" s="41"/>
      <c r="G709" s="42"/>
      <c r="H709" s="41"/>
      <c r="I709" s="41"/>
    </row>
    <row r="710">
      <c r="A710" s="41"/>
      <c r="B710" s="41"/>
      <c r="C710" s="9"/>
      <c r="D710" s="41"/>
      <c r="F710" s="41"/>
      <c r="G710" s="42"/>
      <c r="H710" s="41"/>
      <c r="I710" s="41"/>
    </row>
    <row r="711">
      <c r="A711" s="41"/>
      <c r="B711" s="41"/>
      <c r="C711" s="9"/>
      <c r="D711" s="41"/>
      <c r="F711" s="41"/>
      <c r="G711" s="42"/>
      <c r="H711" s="41"/>
      <c r="I711" s="41"/>
    </row>
    <row r="712">
      <c r="A712" s="41"/>
      <c r="B712" s="41"/>
      <c r="C712" s="9"/>
      <c r="D712" s="41"/>
      <c r="F712" s="41"/>
      <c r="G712" s="42"/>
      <c r="H712" s="41"/>
      <c r="I712" s="41"/>
    </row>
    <row r="713">
      <c r="A713" s="41"/>
      <c r="B713" s="41"/>
      <c r="C713" s="9"/>
      <c r="D713" s="41"/>
      <c r="F713" s="41"/>
      <c r="G713" s="42"/>
      <c r="H713" s="41"/>
      <c r="I713" s="41"/>
    </row>
    <row r="714">
      <c r="A714" s="41"/>
      <c r="B714" s="41"/>
      <c r="C714" s="9"/>
      <c r="D714" s="41"/>
      <c r="F714" s="41"/>
      <c r="G714" s="42"/>
      <c r="H714" s="41"/>
      <c r="I714" s="41"/>
    </row>
    <row r="715">
      <c r="A715" s="41"/>
      <c r="B715" s="41"/>
      <c r="C715" s="9"/>
      <c r="D715" s="41"/>
      <c r="F715" s="41"/>
      <c r="G715" s="42"/>
      <c r="H715" s="41"/>
      <c r="I715" s="41"/>
    </row>
    <row r="716">
      <c r="A716" s="41"/>
      <c r="B716" s="41"/>
      <c r="C716" s="9"/>
      <c r="D716" s="41"/>
      <c r="F716" s="41"/>
      <c r="G716" s="42"/>
      <c r="H716" s="41"/>
      <c r="I716" s="41"/>
    </row>
    <row r="717">
      <c r="A717" s="41"/>
      <c r="B717" s="41"/>
      <c r="C717" s="9"/>
      <c r="D717" s="41"/>
      <c r="F717" s="41"/>
      <c r="G717" s="42"/>
      <c r="H717" s="41"/>
      <c r="I717" s="41"/>
    </row>
    <row r="718">
      <c r="A718" s="41"/>
      <c r="B718" s="41"/>
      <c r="C718" s="9"/>
      <c r="D718" s="41"/>
      <c r="F718" s="41"/>
      <c r="G718" s="42"/>
      <c r="H718" s="41"/>
      <c r="I718" s="41"/>
    </row>
    <row r="719">
      <c r="A719" s="41"/>
      <c r="B719" s="41"/>
      <c r="C719" s="9"/>
      <c r="D719" s="41"/>
      <c r="F719" s="41"/>
      <c r="G719" s="42"/>
      <c r="H719" s="41"/>
      <c r="I719" s="41"/>
    </row>
    <row r="720">
      <c r="A720" s="41"/>
      <c r="B720" s="41"/>
      <c r="C720" s="9"/>
      <c r="D720" s="41"/>
      <c r="F720" s="41"/>
      <c r="G720" s="42"/>
      <c r="H720" s="41"/>
      <c r="I720" s="41"/>
    </row>
    <row r="721">
      <c r="A721" s="41"/>
      <c r="B721" s="41"/>
      <c r="C721" s="9"/>
      <c r="D721" s="41"/>
      <c r="F721" s="41"/>
      <c r="G721" s="42"/>
      <c r="H721" s="41"/>
      <c r="I721" s="41"/>
    </row>
    <row r="722">
      <c r="A722" s="41"/>
      <c r="B722" s="41"/>
      <c r="C722" s="9"/>
      <c r="D722" s="41"/>
      <c r="F722" s="41"/>
      <c r="G722" s="42"/>
      <c r="H722" s="41"/>
      <c r="I722" s="41"/>
    </row>
    <row r="723">
      <c r="A723" s="41"/>
      <c r="B723" s="41"/>
      <c r="C723" s="9"/>
      <c r="D723" s="41"/>
      <c r="F723" s="41"/>
      <c r="G723" s="42"/>
      <c r="H723" s="41"/>
      <c r="I723" s="41"/>
    </row>
    <row r="724">
      <c r="A724" s="41"/>
      <c r="B724" s="41"/>
      <c r="C724" s="9"/>
      <c r="D724" s="41"/>
      <c r="F724" s="41"/>
      <c r="G724" s="42"/>
      <c r="H724" s="41"/>
      <c r="I724" s="41"/>
    </row>
    <row r="725">
      <c r="A725" s="41"/>
      <c r="B725" s="41"/>
      <c r="C725" s="9"/>
      <c r="D725" s="41"/>
      <c r="F725" s="41"/>
      <c r="G725" s="42"/>
      <c r="H725" s="41"/>
      <c r="I725" s="41"/>
    </row>
    <row r="726">
      <c r="A726" s="41"/>
      <c r="B726" s="41"/>
      <c r="C726" s="9"/>
      <c r="D726" s="41"/>
      <c r="F726" s="41"/>
      <c r="G726" s="42"/>
      <c r="H726" s="41"/>
      <c r="I726" s="41"/>
    </row>
    <row r="727">
      <c r="A727" s="41"/>
      <c r="B727" s="41"/>
      <c r="C727" s="9"/>
      <c r="D727" s="41"/>
      <c r="F727" s="41"/>
      <c r="G727" s="42"/>
      <c r="H727" s="41"/>
      <c r="I727" s="41"/>
    </row>
    <row r="728">
      <c r="A728" s="41"/>
      <c r="B728" s="41"/>
      <c r="C728" s="9"/>
      <c r="D728" s="41"/>
      <c r="F728" s="41"/>
      <c r="G728" s="42"/>
      <c r="H728" s="41"/>
      <c r="I728" s="41"/>
    </row>
    <row r="729">
      <c r="A729" s="41"/>
      <c r="B729" s="41"/>
      <c r="C729" s="9"/>
      <c r="D729" s="41"/>
      <c r="F729" s="41"/>
      <c r="G729" s="42"/>
      <c r="H729" s="41"/>
      <c r="I729" s="41"/>
    </row>
    <row r="730">
      <c r="A730" s="41"/>
      <c r="B730" s="41"/>
      <c r="C730" s="9"/>
      <c r="D730" s="41"/>
      <c r="F730" s="41"/>
      <c r="G730" s="42"/>
      <c r="H730" s="41"/>
      <c r="I730" s="41"/>
    </row>
    <row r="731">
      <c r="A731" s="41"/>
      <c r="B731" s="41"/>
      <c r="C731" s="9"/>
      <c r="D731" s="41"/>
      <c r="F731" s="41"/>
      <c r="G731" s="42"/>
      <c r="H731" s="41"/>
      <c r="I731" s="41"/>
    </row>
    <row r="732">
      <c r="A732" s="41"/>
      <c r="B732" s="41"/>
      <c r="C732" s="9"/>
      <c r="D732" s="41"/>
      <c r="F732" s="41"/>
      <c r="G732" s="42"/>
      <c r="H732" s="41"/>
      <c r="I732" s="41"/>
    </row>
    <row r="733">
      <c r="A733" s="41"/>
      <c r="B733" s="41"/>
      <c r="C733" s="9"/>
      <c r="D733" s="41"/>
      <c r="F733" s="41"/>
      <c r="G733" s="42"/>
      <c r="H733" s="41"/>
      <c r="I733" s="41"/>
    </row>
    <row r="734">
      <c r="A734" s="41"/>
      <c r="B734" s="41"/>
      <c r="C734" s="9"/>
      <c r="D734" s="41"/>
      <c r="F734" s="41"/>
      <c r="G734" s="42"/>
      <c r="H734" s="41"/>
      <c r="I734" s="41"/>
    </row>
    <row r="735">
      <c r="A735" s="41"/>
      <c r="B735" s="41"/>
      <c r="C735" s="9"/>
      <c r="D735" s="41"/>
      <c r="F735" s="41"/>
      <c r="G735" s="42"/>
      <c r="H735" s="41"/>
      <c r="I735" s="41"/>
    </row>
    <row r="736">
      <c r="A736" s="41"/>
      <c r="B736" s="41"/>
      <c r="C736" s="9"/>
      <c r="D736" s="41"/>
      <c r="F736" s="41"/>
      <c r="G736" s="42"/>
      <c r="H736" s="41"/>
      <c r="I736" s="41"/>
    </row>
    <row r="737">
      <c r="A737" s="41"/>
      <c r="B737" s="41"/>
      <c r="C737" s="9"/>
      <c r="D737" s="41"/>
      <c r="F737" s="41"/>
      <c r="G737" s="42"/>
      <c r="H737" s="41"/>
      <c r="I737" s="41"/>
    </row>
    <row r="738">
      <c r="A738" s="41"/>
      <c r="B738" s="41"/>
      <c r="C738" s="9"/>
      <c r="D738" s="41"/>
      <c r="F738" s="41"/>
      <c r="G738" s="42"/>
      <c r="H738" s="41"/>
      <c r="I738" s="41"/>
    </row>
    <row r="739">
      <c r="A739" s="41"/>
      <c r="B739" s="41"/>
      <c r="C739" s="9"/>
      <c r="D739" s="41"/>
      <c r="F739" s="41"/>
      <c r="G739" s="42"/>
      <c r="H739" s="41"/>
      <c r="I739" s="41"/>
    </row>
    <row r="740">
      <c r="A740" s="41"/>
      <c r="B740" s="41"/>
      <c r="C740" s="9"/>
      <c r="D740" s="41"/>
      <c r="F740" s="41"/>
      <c r="G740" s="42"/>
      <c r="H740" s="41"/>
      <c r="I740" s="41"/>
    </row>
    <row r="741">
      <c r="A741" s="41"/>
      <c r="B741" s="41"/>
      <c r="C741" s="9"/>
      <c r="D741" s="41"/>
      <c r="F741" s="41"/>
      <c r="G741" s="42"/>
      <c r="H741" s="41"/>
      <c r="I741" s="41"/>
    </row>
    <row r="742">
      <c r="A742" s="41"/>
      <c r="B742" s="41"/>
      <c r="C742" s="9"/>
      <c r="D742" s="41"/>
      <c r="F742" s="41"/>
      <c r="G742" s="42"/>
      <c r="H742" s="41"/>
      <c r="I742" s="41"/>
    </row>
    <row r="743">
      <c r="A743" s="41"/>
      <c r="B743" s="41"/>
      <c r="C743" s="9"/>
      <c r="D743" s="41"/>
      <c r="F743" s="41"/>
      <c r="G743" s="42"/>
      <c r="H743" s="41"/>
      <c r="I743" s="41"/>
    </row>
    <row r="744">
      <c r="A744" s="41"/>
      <c r="B744" s="41"/>
      <c r="C744" s="9"/>
      <c r="D744" s="41"/>
      <c r="F744" s="41"/>
      <c r="G744" s="42"/>
      <c r="H744" s="41"/>
      <c r="I744" s="41"/>
    </row>
    <row r="745">
      <c r="A745" s="41"/>
      <c r="B745" s="41"/>
      <c r="C745" s="9"/>
      <c r="D745" s="41"/>
      <c r="F745" s="41"/>
      <c r="G745" s="42"/>
      <c r="H745" s="41"/>
      <c r="I745" s="41"/>
    </row>
    <row r="746">
      <c r="A746" s="41"/>
      <c r="B746" s="41"/>
      <c r="C746" s="9"/>
      <c r="D746" s="41"/>
      <c r="F746" s="41"/>
      <c r="G746" s="42"/>
      <c r="H746" s="41"/>
      <c r="I746" s="41"/>
    </row>
    <row r="747">
      <c r="A747" s="41"/>
      <c r="B747" s="41"/>
      <c r="C747" s="9"/>
      <c r="D747" s="41"/>
      <c r="F747" s="41"/>
      <c r="G747" s="42"/>
      <c r="H747" s="41"/>
      <c r="I747" s="41"/>
    </row>
    <row r="748">
      <c r="A748" s="41"/>
      <c r="B748" s="41"/>
      <c r="C748" s="9"/>
      <c r="D748" s="41"/>
      <c r="F748" s="41"/>
      <c r="G748" s="42"/>
      <c r="H748" s="41"/>
      <c r="I748" s="41"/>
    </row>
    <row r="749">
      <c r="A749" s="41"/>
      <c r="B749" s="41"/>
      <c r="C749" s="9"/>
      <c r="D749" s="41"/>
      <c r="F749" s="41"/>
      <c r="G749" s="42"/>
      <c r="H749" s="41"/>
      <c r="I749" s="41"/>
    </row>
    <row r="750">
      <c r="A750" s="41"/>
      <c r="B750" s="41"/>
      <c r="C750" s="9"/>
      <c r="D750" s="41"/>
      <c r="F750" s="41"/>
      <c r="G750" s="42"/>
      <c r="H750" s="41"/>
      <c r="I750" s="41"/>
    </row>
    <row r="751">
      <c r="A751" s="41"/>
      <c r="B751" s="41"/>
      <c r="C751" s="9"/>
      <c r="D751" s="41"/>
      <c r="F751" s="41"/>
      <c r="G751" s="42"/>
      <c r="H751" s="41"/>
      <c r="I751" s="41"/>
    </row>
    <row r="752">
      <c r="A752" s="41"/>
      <c r="B752" s="41"/>
      <c r="C752" s="9"/>
      <c r="D752" s="41"/>
      <c r="F752" s="41"/>
      <c r="G752" s="42"/>
      <c r="H752" s="41"/>
      <c r="I752" s="41"/>
    </row>
    <row r="753">
      <c r="A753" s="41"/>
      <c r="B753" s="41"/>
      <c r="C753" s="9"/>
      <c r="D753" s="41"/>
      <c r="F753" s="41"/>
      <c r="G753" s="42"/>
      <c r="H753" s="41"/>
      <c r="I753" s="41"/>
    </row>
    <row r="754">
      <c r="A754" s="41"/>
      <c r="B754" s="41"/>
      <c r="C754" s="9"/>
      <c r="D754" s="41"/>
      <c r="F754" s="41"/>
      <c r="G754" s="42"/>
      <c r="H754" s="41"/>
      <c r="I754" s="41"/>
    </row>
    <row r="755">
      <c r="A755" s="41"/>
      <c r="B755" s="41"/>
      <c r="C755" s="9"/>
      <c r="D755" s="41"/>
      <c r="F755" s="41"/>
      <c r="G755" s="42"/>
      <c r="H755" s="41"/>
      <c r="I755" s="41"/>
    </row>
    <row r="756">
      <c r="A756" s="41"/>
      <c r="B756" s="41"/>
      <c r="C756" s="9"/>
      <c r="D756" s="41"/>
      <c r="F756" s="41"/>
      <c r="G756" s="42"/>
      <c r="H756" s="41"/>
      <c r="I756" s="41"/>
    </row>
    <row r="757">
      <c r="A757" s="41"/>
      <c r="B757" s="41"/>
      <c r="C757" s="9"/>
      <c r="D757" s="41"/>
      <c r="F757" s="41"/>
      <c r="G757" s="42"/>
      <c r="H757" s="41"/>
      <c r="I757" s="41"/>
    </row>
    <row r="758">
      <c r="A758" s="41"/>
      <c r="B758" s="41"/>
      <c r="C758" s="9"/>
      <c r="D758" s="41"/>
      <c r="F758" s="41"/>
      <c r="G758" s="42"/>
      <c r="H758" s="41"/>
      <c r="I758" s="41"/>
    </row>
    <row r="759">
      <c r="A759" s="41"/>
      <c r="B759" s="41"/>
      <c r="C759" s="9"/>
      <c r="D759" s="41"/>
      <c r="F759" s="41"/>
      <c r="G759" s="42"/>
      <c r="H759" s="41"/>
      <c r="I759" s="41"/>
    </row>
    <row r="760">
      <c r="A760" s="41"/>
      <c r="B760" s="41"/>
      <c r="C760" s="9"/>
      <c r="D760" s="41"/>
      <c r="F760" s="41"/>
      <c r="G760" s="42"/>
      <c r="H760" s="41"/>
      <c r="I760" s="41"/>
    </row>
    <row r="761">
      <c r="A761" s="41"/>
      <c r="B761" s="41"/>
      <c r="C761" s="9"/>
      <c r="D761" s="41"/>
      <c r="F761" s="41"/>
      <c r="G761" s="42"/>
      <c r="H761" s="41"/>
      <c r="I761" s="41"/>
    </row>
    <row r="762">
      <c r="A762" s="41"/>
      <c r="B762" s="41"/>
      <c r="C762" s="9"/>
      <c r="D762" s="41"/>
      <c r="F762" s="41"/>
      <c r="G762" s="42"/>
      <c r="H762" s="41"/>
      <c r="I762" s="41"/>
    </row>
    <row r="763">
      <c r="A763" s="41"/>
      <c r="B763" s="41"/>
      <c r="C763" s="9"/>
      <c r="D763" s="41"/>
      <c r="F763" s="41"/>
      <c r="G763" s="42"/>
      <c r="H763" s="41"/>
      <c r="I763" s="41"/>
    </row>
    <row r="764">
      <c r="A764" s="41"/>
      <c r="B764" s="41"/>
      <c r="C764" s="9"/>
      <c r="D764" s="41"/>
      <c r="F764" s="41"/>
      <c r="G764" s="42"/>
      <c r="H764" s="41"/>
      <c r="I764" s="41"/>
    </row>
    <row r="765">
      <c r="A765" s="41"/>
      <c r="B765" s="41"/>
      <c r="C765" s="9"/>
      <c r="D765" s="41"/>
      <c r="F765" s="41"/>
      <c r="G765" s="42"/>
      <c r="H765" s="41"/>
      <c r="I765" s="41"/>
    </row>
    <row r="766">
      <c r="A766" s="41"/>
      <c r="B766" s="41"/>
      <c r="C766" s="9"/>
      <c r="D766" s="41"/>
      <c r="F766" s="41"/>
      <c r="G766" s="42"/>
      <c r="H766" s="41"/>
      <c r="I766" s="41"/>
    </row>
    <row r="767">
      <c r="A767" s="41"/>
      <c r="B767" s="41"/>
      <c r="C767" s="9"/>
      <c r="D767" s="41"/>
      <c r="F767" s="41"/>
      <c r="G767" s="42"/>
      <c r="H767" s="41"/>
      <c r="I767" s="41"/>
    </row>
    <row r="768">
      <c r="A768" s="41"/>
      <c r="B768" s="41"/>
      <c r="C768" s="9"/>
      <c r="D768" s="41"/>
      <c r="F768" s="41"/>
      <c r="G768" s="42"/>
      <c r="H768" s="41"/>
      <c r="I768" s="41"/>
    </row>
    <row r="769">
      <c r="A769" s="41"/>
      <c r="B769" s="41"/>
      <c r="C769" s="9"/>
      <c r="D769" s="41"/>
      <c r="F769" s="41"/>
      <c r="G769" s="42"/>
      <c r="H769" s="41"/>
      <c r="I769" s="41"/>
    </row>
    <row r="770">
      <c r="A770" s="41"/>
      <c r="B770" s="41"/>
      <c r="C770" s="9"/>
      <c r="D770" s="41"/>
      <c r="F770" s="41"/>
      <c r="G770" s="42"/>
      <c r="H770" s="41"/>
      <c r="I770" s="41"/>
    </row>
    <row r="771">
      <c r="A771" s="41"/>
      <c r="B771" s="41"/>
      <c r="C771" s="9"/>
      <c r="D771" s="41"/>
      <c r="F771" s="41"/>
      <c r="G771" s="42"/>
      <c r="H771" s="41"/>
      <c r="I771" s="41"/>
    </row>
    <row r="772">
      <c r="A772" s="41"/>
      <c r="B772" s="41"/>
      <c r="C772" s="9"/>
      <c r="D772" s="41"/>
      <c r="F772" s="41"/>
      <c r="G772" s="42"/>
      <c r="H772" s="41"/>
      <c r="I772" s="41"/>
    </row>
    <row r="773">
      <c r="A773" s="41"/>
      <c r="B773" s="41"/>
      <c r="C773" s="9"/>
      <c r="D773" s="41"/>
      <c r="F773" s="41"/>
      <c r="G773" s="42"/>
      <c r="H773" s="41"/>
      <c r="I773" s="41"/>
    </row>
    <row r="774">
      <c r="A774" s="41"/>
      <c r="B774" s="41"/>
      <c r="C774" s="9"/>
      <c r="D774" s="41"/>
      <c r="F774" s="41"/>
      <c r="G774" s="42"/>
      <c r="H774" s="41"/>
      <c r="I774" s="41"/>
    </row>
    <row r="775">
      <c r="A775" s="41"/>
      <c r="B775" s="41"/>
      <c r="C775" s="9"/>
      <c r="D775" s="41"/>
      <c r="F775" s="41"/>
      <c r="G775" s="42"/>
      <c r="H775" s="41"/>
      <c r="I775" s="41"/>
    </row>
    <row r="776">
      <c r="A776" s="41"/>
      <c r="B776" s="41"/>
      <c r="C776" s="9"/>
      <c r="D776" s="41"/>
      <c r="F776" s="41"/>
      <c r="G776" s="42"/>
      <c r="H776" s="41"/>
      <c r="I776" s="41"/>
    </row>
    <row r="777">
      <c r="A777" s="41"/>
      <c r="B777" s="41"/>
      <c r="C777" s="9"/>
      <c r="D777" s="41"/>
      <c r="F777" s="41"/>
      <c r="G777" s="42"/>
      <c r="H777" s="41"/>
      <c r="I777" s="41"/>
    </row>
    <row r="778">
      <c r="A778" s="41"/>
      <c r="B778" s="41"/>
      <c r="C778" s="9"/>
      <c r="D778" s="41"/>
      <c r="F778" s="41"/>
      <c r="G778" s="42"/>
      <c r="H778" s="41"/>
      <c r="I778" s="41"/>
    </row>
    <row r="779">
      <c r="A779" s="41"/>
      <c r="B779" s="41"/>
      <c r="C779" s="9"/>
      <c r="D779" s="41"/>
      <c r="F779" s="41"/>
      <c r="G779" s="42"/>
      <c r="H779" s="41"/>
      <c r="I779" s="41"/>
    </row>
    <row r="780">
      <c r="A780" s="41"/>
      <c r="B780" s="41"/>
      <c r="C780" s="9"/>
      <c r="D780" s="41"/>
      <c r="F780" s="41"/>
      <c r="G780" s="42"/>
      <c r="H780" s="41"/>
      <c r="I780" s="41"/>
    </row>
    <row r="781">
      <c r="A781" s="41"/>
      <c r="B781" s="41"/>
      <c r="C781" s="9"/>
      <c r="D781" s="41"/>
      <c r="F781" s="41"/>
      <c r="G781" s="42"/>
      <c r="H781" s="41"/>
      <c r="I781" s="41"/>
    </row>
    <row r="782">
      <c r="A782" s="41"/>
      <c r="B782" s="41"/>
      <c r="C782" s="9"/>
      <c r="D782" s="41"/>
      <c r="F782" s="41"/>
      <c r="G782" s="42"/>
      <c r="H782" s="41"/>
      <c r="I782" s="41"/>
    </row>
    <row r="783">
      <c r="A783" s="41"/>
      <c r="B783" s="41"/>
      <c r="C783" s="9"/>
      <c r="D783" s="41"/>
      <c r="F783" s="41"/>
      <c r="G783" s="42"/>
      <c r="H783" s="41"/>
      <c r="I783" s="41"/>
    </row>
    <row r="784">
      <c r="A784" s="41"/>
      <c r="B784" s="41"/>
      <c r="C784" s="9"/>
      <c r="D784" s="41"/>
      <c r="F784" s="41"/>
      <c r="G784" s="42"/>
      <c r="H784" s="41"/>
      <c r="I784" s="41"/>
    </row>
    <row r="785">
      <c r="A785" s="41"/>
      <c r="B785" s="41"/>
      <c r="C785" s="9"/>
      <c r="D785" s="41"/>
      <c r="F785" s="41"/>
      <c r="G785" s="42"/>
      <c r="H785" s="41"/>
      <c r="I785" s="41"/>
    </row>
    <row r="786">
      <c r="A786" s="41"/>
      <c r="B786" s="41"/>
      <c r="C786" s="9"/>
      <c r="D786" s="41"/>
      <c r="F786" s="41"/>
      <c r="G786" s="42"/>
      <c r="H786" s="41"/>
      <c r="I786" s="41"/>
    </row>
    <row r="787">
      <c r="A787" s="41"/>
      <c r="B787" s="41"/>
      <c r="C787" s="9"/>
      <c r="D787" s="41"/>
      <c r="F787" s="41"/>
      <c r="G787" s="42"/>
      <c r="H787" s="41"/>
      <c r="I787" s="41"/>
    </row>
    <row r="788">
      <c r="A788" s="41"/>
      <c r="B788" s="41"/>
      <c r="C788" s="9"/>
      <c r="D788" s="41"/>
      <c r="F788" s="41"/>
      <c r="G788" s="42"/>
      <c r="H788" s="41"/>
      <c r="I788" s="41"/>
    </row>
    <row r="789">
      <c r="A789" s="41"/>
      <c r="B789" s="41"/>
      <c r="C789" s="9"/>
      <c r="D789" s="41"/>
      <c r="F789" s="41"/>
      <c r="G789" s="42"/>
      <c r="H789" s="41"/>
      <c r="I789" s="41"/>
    </row>
    <row r="790">
      <c r="A790" s="41"/>
      <c r="B790" s="41"/>
      <c r="C790" s="9"/>
      <c r="D790" s="41"/>
      <c r="F790" s="41"/>
      <c r="G790" s="42"/>
      <c r="H790" s="41"/>
      <c r="I790" s="41"/>
    </row>
    <row r="791">
      <c r="A791" s="41"/>
      <c r="B791" s="41"/>
      <c r="C791" s="9"/>
      <c r="D791" s="41"/>
      <c r="F791" s="41"/>
      <c r="G791" s="42"/>
      <c r="H791" s="41"/>
      <c r="I791" s="41"/>
    </row>
    <row r="792">
      <c r="A792" s="41"/>
      <c r="B792" s="41"/>
      <c r="C792" s="9"/>
      <c r="D792" s="41"/>
      <c r="F792" s="41"/>
      <c r="G792" s="42"/>
      <c r="H792" s="41"/>
      <c r="I792" s="41"/>
    </row>
    <row r="793">
      <c r="A793" s="41"/>
      <c r="B793" s="41"/>
      <c r="C793" s="9"/>
      <c r="D793" s="41"/>
      <c r="F793" s="41"/>
      <c r="G793" s="42"/>
      <c r="H793" s="41"/>
      <c r="I793" s="41"/>
    </row>
    <row r="794">
      <c r="A794" s="41"/>
      <c r="B794" s="41"/>
      <c r="C794" s="9"/>
      <c r="D794" s="41"/>
      <c r="F794" s="41"/>
      <c r="G794" s="42"/>
      <c r="H794" s="41"/>
      <c r="I794" s="41"/>
    </row>
    <row r="795">
      <c r="A795" s="41"/>
      <c r="B795" s="41"/>
      <c r="C795" s="9"/>
      <c r="D795" s="41"/>
      <c r="F795" s="41"/>
      <c r="G795" s="42"/>
      <c r="H795" s="41"/>
      <c r="I795" s="41"/>
    </row>
    <row r="796">
      <c r="A796" s="41"/>
      <c r="B796" s="41"/>
      <c r="C796" s="9"/>
      <c r="D796" s="41"/>
      <c r="F796" s="41"/>
      <c r="G796" s="42"/>
      <c r="H796" s="41"/>
      <c r="I796" s="41"/>
    </row>
    <row r="797">
      <c r="A797" s="41"/>
      <c r="B797" s="41"/>
      <c r="C797" s="9"/>
      <c r="D797" s="41"/>
      <c r="F797" s="41"/>
      <c r="G797" s="42"/>
      <c r="H797" s="41"/>
      <c r="I797" s="41"/>
    </row>
    <row r="798">
      <c r="A798" s="41"/>
      <c r="B798" s="41"/>
      <c r="C798" s="9"/>
      <c r="D798" s="41"/>
      <c r="F798" s="41"/>
      <c r="G798" s="42"/>
      <c r="H798" s="41"/>
      <c r="I798" s="41"/>
    </row>
    <row r="799">
      <c r="A799" s="41"/>
      <c r="B799" s="41"/>
      <c r="C799" s="9"/>
      <c r="D799" s="41"/>
      <c r="F799" s="41"/>
      <c r="G799" s="42"/>
      <c r="H799" s="41"/>
      <c r="I799" s="41"/>
    </row>
    <row r="800">
      <c r="A800" s="41"/>
      <c r="B800" s="41"/>
      <c r="C800" s="9"/>
      <c r="D800" s="41"/>
      <c r="F800" s="41"/>
      <c r="G800" s="42"/>
      <c r="H800" s="41"/>
      <c r="I800" s="41"/>
    </row>
    <row r="801">
      <c r="A801" s="41"/>
      <c r="B801" s="41"/>
      <c r="C801" s="9"/>
      <c r="D801" s="41"/>
      <c r="F801" s="41"/>
      <c r="G801" s="42"/>
      <c r="H801" s="41"/>
      <c r="I801" s="41"/>
    </row>
    <row r="802">
      <c r="A802" s="41"/>
      <c r="B802" s="41"/>
      <c r="C802" s="9"/>
      <c r="D802" s="41"/>
      <c r="F802" s="41"/>
      <c r="G802" s="42"/>
      <c r="H802" s="41"/>
      <c r="I802" s="41"/>
    </row>
    <row r="803">
      <c r="A803" s="41"/>
      <c r="B803" s="41"/>
      <c r="C803" s="9"/>
      <c r="D803" s="41"/>
      <c r="F803" s="41"/>
      <c r="G803" s="42"/>
      <c r="H803" s="41"/>
      <c r="I803" s="41"/>
    </row>
    <row r="804">
      <c r="A804" s="41"/>
      <c r="B804" s="41"/>
      <c r="C804" s="9"/>
      <c r="D804" s="41"/>
      <c r="F804" s="41"/>
      <c r="G804" s="42"/>
      <c r="H804" s="41"/>
      <c r="I804" s="41"/>
    </row>
    <row r="805">
      <c r="A805" s="41"/>
      <c r="B805" s="41"/>
      <c r="C805" s="9"/>
      <c r="D805" s="41"/>
      <c r="F805" s="41"/>
      <c r="G805" s="42"/>
      <c r="H805" s="41"/>
      <c r="I805" s="41"/>
    </row>
    <row r="806">
      <c r="A806" s="41"/>
      <c r="B806" s="41"/>
      <c r="C806" s="9"/>
      <c r="D806" s="41"/>
      <c r="F806" s="41"/>
      <c r="G806" s="42"/>
      <c r="H806" s="41"/>
      <c r="I806" s="41"/>
    </row>
    <row r="807">
      <c r="A807" s="41"/>
      <c r="B807" s="41"/>
      <c r="C807" s="9"/>
      <c r="D807" s="41"/>
      <c r="F807" s="41"/>
      <c r="G807" s="42"/>
      <c r="H807" s="41"/>
      <c r="I807" s="41"/>
    </row>
    <row r="808">
      <c r="A808" s="41"/>
      <c r="B808" s="41"/>
      <c r="C808" s="9"/>
      <c r="D808" s="41"/>
      <c r="F808" s="41"/>
      <c r="G808" s="42"/>
      <c r="H808" s="41"/>
      <c r="I808" s="41"/>
    </row>
    <row r="809">
      <c r="A809" s="41"/>
      <c r="B809" s="41"/>
      <c r="C809" s="9"/>
      <c r="D809" s="41"/>
      <c r="F809" s="41"/>
      <c r="G809" s="42"/>
      <c r="H809" s="41"/>
      <c r="I809" s="41"/>
    </row>
    <row r="810">
      <c r="A810" s="41"/>
      <c r="B810" s="41"/>
      <c r="C810" s="9"/>
      <c r="D810" s="41"/>
      <c r="F810" s="41"/>
      <c r="G810" s="42"/>
      <c r="H810" s="41"/>
      <c r="I810" s="41"/>
    </row>
    <row r="811">
      <c r="A811" s="41"/>
      <c r="B811" s="41"/>
      <c r="C811" s="9"/>
      <c r="D811" s="41"/>
      <c r="F811" s="41"/>
      <c r="G811" s="42"/>
      <c r="H811" s="41"/>
      <c r="I811" s="41"/>
    </row>
    <row r="812">
      <c r="A812" s="41"/>
      <c r="B812" s="41"/>
      <c r="C812" s="9"/>
      <c r="D812" s="41"/>
      <c r="F812" s="41"/>
      <c r="G812" s="42"/>
      <c r="H812" s="41"/>
      <c r="I812" s="41"/>
    </row>
    <row r="813">
      <c r="A813" s="41"/>
      <c r="B813" s="41"/>
      <c r="C813" s="9"/>
      <c r="D813" s="41"/>
      <c r="F813" s="41"/>
      <c r="G813" s="42"/>
      <c r="H813" s="41"/>
      <c r="I813" s="41"/>
    </row>
    <row r="814">
      <c r="A814" s="41"/>
      <c r="B814" s="41"/>
      <c r="C814" s="9"/>
      <c r="D814" s="41"/>
      <c r="F814" s="41"/>
      <c r="G814" s="42"/>
      <c r="H814" s="41"/>
      <c r="I814" s="41"/>
    </row>
    <row r="815">
      <c r="A815" s="41"/>
      <c r="B815" s="41"/>
      <c r="C815" s="9"/>
      <c r="D815" s="41"/>
      <c r="F815" s="41"/>
      <c r="G815" s="42"/>
      <c r="H815" s="41"/>
      <c r="I815" s="41"/>
    </row>
    <row r="816">
      <c r="A816" s="41"/>
      <c r="B816" s="41"/>
      <c r="C816" s="9"/>
      <c r="D816" s="41"/>
      <c r="F816" s="41"/>
      <c r="G816" s="42"/>
      <c r="H816" s="41"/>
      <c r="I816" s="41"/>
    </row>
    <row r="817">
      <c r="A817" s="41"/>
      <c r="B817" s="41"/>
      <c r="C817" s="9"/>
      <c r="D817" s="41"/>
      <c r="F817" s="41"/>
      <c r="G817" s="42"/>
      <c r="H817" s="41"/>
      <c r="I817" s="41"/>
    </row>
    <row r="818">
      <c r="A818" s="41"/>
      <c r="B818" s="41"/>
      <c r="C818" s="9"/>
      <c r="D818" s="41"/>
      <c r="F818" s="41"/>
      <c r="G818" s="42"/>
      <c r="H818" s="41"/>
      <c r="I818" s="41"/>
    </row>
    <row r="819">
      <c r="A819" s="41"/>
      <c r="B819" s="41"/>
      <c r="C819" s="9"/>
      <c r="D819" s="41"/>
      <c r="F819" s="41"/>
      <c r="G819" s="42"/>
      <c r="H819" s="41"/>
      <c r="I819" s="41"/>
    </row>
    <row r="820">
      <c r="A820" s="41"/>
      <c r="B820" s="41"/>
      <c r="C820" s="9"/>
      <c r="D820" s="41"/>
      <c r="F820" s="41"/>
      <c r="G820" s="42"/>
      <c r="H820" s="41"/>
      <c r="I820" s="41"/>
    </row>
    <row r="821">
      <c r="A821" s="41"/>
      <c r="B821" s="41"/>
      <c r="C821" s="9"/>
      <c r="D821" s="41"/>
      <c r="F821" s="41"/>
      <c r="G821" s="42"/>
      <c r="H821" s="41"/>
      <c r="I821" s="41"/>
    </row>
    <row r="822">
      <c r="A822" s="41"/>
      <c r="B822" s="41"/>
      <c r="C822" s="9"/>
      <c r="D822" s="41"/>
      <c r="F822" s="41"/>
      <c r="G822" s="42"/>
      <c r="H822" s="41"/>
      <c r="I822" s="41"/>
    </row>
    <row r="823">
      <c r="A823" s="41"/>
      <c r="B823" s="41"/>
      <c r="C823" s="9"/>
      <c r="D823" s="41"/>
      <c r="F823" s="41"/>
      <c r="G823" s="42"/>
      <c r="H823" s="41"/>
      <c r="I823" s="41"/>
    </row>
    <row r="824">
      <c r="A824" s="41"/>
      <c r="B824" s="41"/>
      <c r="C824" s="9"/>
      <c r="D824" s="41"/>
      <c r="F824" s="41"/>
      <c r="G824" s="42"/>
      <c r="H824" s="41"/>
      <c r="I824" s="41"/>
    </row>
    <row r="825">
      <c r="A825" s="41"/>
      <c r="B825" s="41"/>
      <c r="C825" s="9"/>
      <c r="D825" s="41"/>
      <c r="F825" s="41"/>
      <c r="G825" s="42"/>
      <c r="H825" s="41"/>
      <c r="I825" s="41"/>
    </row>
    <row r="826">
      <c r="A826" s="41"/>
      <c r="B826" s="41"/>
      <c r="C826" s="9"/>
      <c r="D826" s="41"/>
      <c r="F826" s="41"/>
      <c r="G826" s="42"/>
      <c r="H826" s="41"/>
      <c r="I826" s="41"/>
    </row>
    <row r="827">
      <c r="A827" s="41"/>
      <c r="B827" s="41"/>
      <c r="C827" s="9"/>
      <c r="D827" s="41"/>
      <c r="F827" s="41"/>
      <c r="G827" s="42"/>
      <c r="H827" s="41"/>
      <c r="I827" s="41"/>
    </row>
    <row r="828">
      <c r="A828" s="41"/>
      <c r="B828" s="41"/>
      <c r="C828" s="9"/>
      <c r="D828" s="41"/>
      <c r="F828" s="41"/>
      <c r="G828" s="42"/>
      <c r="H828" s="41"/>
      <c r="I828" s="41"/>
    </row>
    <row r="829">
      <c r="A829" s="41"/>
      <c r="B829" s="41"/>
      <c r="C829" s="9"/>
      <c r="D829" s="41"/>
      <c r="F829" s="41"/>
      <c r="G829" s="42"/>
      <c r="H829" s="41"/>
      <c r="I829" s="41"/>
    </row>
    <row r="830">
      <c r="A830" s="41"/>
      <c r="B830" s="41"/>
      <c r="C830" s="9"/>
      <c r="D830" s="41"/>
      <c r="F830" s="41"/>
      <c r="G830" s="42"/>
      <c r="H830" s="41"/>
      <c r="I830" s="41"/>
    </row>
    <row r="831">
      <c r="A831" s="41"/>
      <c r="B831" s="41"/>
      <c r="C831" s="9"/>
      <c r="D831" s="41"/>
      <c r="F831" s="41"/>
      <c r="G831" s="42"/>
      <c r="H831" s="41"/>
      <c r="I831" s="41"/>
    </row>
    <row r="832">
      <c r="A832" s="41"/>
      <c r="B832" s="41"/>
      <c r="C832" s="9"/>
      <c r="D832" s="41"/>
      <c r="F832" s="41"/>
      <c r="G832" s="42"/>
      <c r="H832" s="41"/>
      <c r="I832" s="41"/>
    </row>
    <row r="833">
      <c r="A833" s="41"/>
      <c r="B833" s="41"/>
      <c r="C833" s="9"/>
      <c r="D833" s="41"/>
      <c r="F833" s="41"/>
      <c r="G833" s="42"/>
      <c r="H833" s="41"/>
      <c r="I833" s="41"/>
    </row>
    <row r="834">
      <c r="A834" s="41"/>
      <c r="B834" s="41"/>
      <c r="C834" s="9"/>
      <c r="D834" s="41"/>
      <c r="F834" s="41"/>
      <c r="G834" s="42"/>
      <c r="H834" s="41"/>
      <c r="I834" s="41"/>
    </row>
    <row r="835">
      <c r="A835" s="41"/>
      <c r="B835" s="41"/>
      <c r="C835" s="9"/>
      <c r="D835" s="41"/>
      <c r="F835" s="41"/>
      <c r="G835" s="42"/>
      <c r="H835" s="41"/>
      <c r="I835" s="41"/>
    </row>
    <row r="836">
      <c r="A836" s="41"/>
      <c r="B836" s="41"/>
      <c r="C836" s="9"/>
      <c r="D836" s="41"/>
      <c r="F836" s="41"/>
      <c r="G836" s="42"/>
      <c r="H836" s="41"/>
      <c r="I836" s="41"/>
    </row>
    <row r="837">
      <c r="A837" s="41"/>
      <c r="B837" s="41"/>
      <c r="C837" s="9"/>
      <c r="D837" s="41"/>
      <c r="F837" s="41"/>
      <c r="G837" s="42"/>
      <c r="H837" s="41"/>
      <c r="I837" s="41"/>
    </row>
    <row r="838">
      <c r="A838" s="41"/>
      <c r="B838" s="41"/>
      <c r="C838" s="9"/>
      <c r="D838" s="41"/>
      <c r="F838" s="41"/>
      <c r="G838" s="42"/>
      <c r="H838" s="41"/>
      <c r="I838" s="41"/>
    </row>
    <row r="839">
      <c r="A839" s="41"/>
      <c r="B839" s="41"/>
      <c r="C839" s="9"/>
      <c r="D839" s="41"/>
      <c r="F839" s="41"/>
      <c r="G839" s="42"/>
      <c r="H839" s="41"/>
      <c r="I839" s="41"/>
    </row>
    <row r="840">
      <c r="A840" s="41"/>
      <c r="B840" s="41"/>
      <c r="C840" s="9"/>
      <c r="D840" s="41"/>
      <c r="F840" s="41"/>
      <c r="G840" s="42"/>
      <c r="H840" s="41"/>
      <c r="I840" s="41"/>
    </row>
    <row r="841">
      <c r="A841" s="41"/>
      <c r="B841" s="41"/>
      <c r="C841" s="9"/>
      <c r="D841" s="41"/>
      <c r="F841" s="41"/>
      <c r="G841" s="42"/>
      <c r="H841" s="41"/>
      <c r="I841" s="41"/>
    </row>
    <row r="842">
      <c r="A842" s="41"/>
      <c r="B842" s="41"/>
      <c r="C842" s="9"/>
      <c r="D842" s="41"/>
      <c r="F842" s="41"/>
      <c r="G842" s="42"/>
      <c r="H842" s="41"/>
      <c r="I842" s="41"/>
    </row>
    <row r="843">
      <c r="A843" s="41"/>
      <c r="B843" s="41"/>
      <c r="C843" s="9"/>
      <c r="D843" s="41"/>
      <c r="F843" s="41"/>
      <c r="G843" s="42"/>
      <c r="H843" s="41"/>
      <c r="I843" s="41"/>
    </row>
    <row r="844">
      <c r="A844" s="41"/>
      <c r="B844" s="41"/>
      <c r="C844" s="9"/>
      <c r="D844" s="41"/>
      <c r="F844" s="41"/>
      <c r="G844" s="42"/>
      <c r="H844" s="41"/>
      <c r="I844" s="41"/>
    </row>
    <row r="845">
      <c r="A845" s="41"/>
      <c r="B845" s="41"/>
      <c r="C845" s="9"/>
      <c r="D845" s="41"/>
      <c r="F845" s="41"/>
      <c r="G845" s="42"/>
      <c r="H845" s="41"/>
      <c r="I845" s="41"/>
    </row>
    <row r="846">
      <c r="A846" s="41"/>
      <c r="B846" s="41"/>
      <c r="C846" s="9"/>
      <c r="D846" s="41"/>
      <c r="F846" s="41"/>
      <c r="G846" s="42"/>
      <c r="H846" s="41"/>
      <c r="I846" s="41"/>
    </row>
    <row r="847">
      <c r="A847" s="41"/>
      <c r="B847" s="41"/>
      <c r="C847" s="9"/>
      <c r="D847" s="41"/>
      <c r="F847" s="41"/>
      <c r="G847" s="42"/>
      <c r="H847" s="41"/>
      <c r="I847" s="41"/>
    </row>
    <row r="848">
      <c r="A848" s="41"/>
      <c r="B848" s="41"/>
      <c r="C848" s="9"/>
      <c r="D848" s="41"/>
      <c r="F848" s="41"/>
      <c r="G848" s="42"/>
      <c r="H848" s="41"/>
      <c r="I848" s="41"/>
    </row>
    <row r="849">
      <c r="A849" s="41"/>
      <c r="B849" s="41"/>
      <c r="C849" s="9"/>
      <c r="D849" s="41"/>
      <c r="F849" s="41"/>
      <c r="G849" s="42"/>
      <c r="H849" s="41"/>
      <c r="I849" s="41"/>
    </row>
    <row r="850">
      <c r="A850" s="41"/>
      <c r="B850" s="41"/>
      <c r="C850" s="9"/>
      <c r="D850" s="41"/>
      <c r="F850" s="41"/>
      <c r="G850" s="42"/>
      <c r="H850" s="41"/>
      <c r="I850" s="41"/>
    </row>
    <row r="851">
      <c r="A851" s="41"/>
      <c r="B851" s="41"/>
      <c r="C851" s="9"/>
      <c r="D851" s="41"/>
      <c r="F851" s="41"/>
      <c r="G851" s="42"/>
      <c r="H851" s="41"/>
      <c r="I851" s="41"/>
    </row>
    <row r="852">
      <c r="A852" s="41"/>
      <c r="B852" s="41"/>
      <c r="C852" s="9"/>
      <c r="D852" s="41"/>
      <c r="F852" s="41"/>
      <c r="G852" s="42"/>
      <c r="H852" s="41"/>
      <c r="I852" s="41"/>
    </row>
    <row r="853">
      <c r="A853" s="41"/>
      <c r="B853" s="41"/>
      <c r="C853" s="9"/>
      <c r="D853" s="41"/>
      <c r="F853" s="41"/>
      <c r="G853" s="42"/>
      <c r="H853" s="41"/>
      <c r="I853" s="41"/>
    </row>
    <row r="854">
      <c r="A854" s="41"/>
      <c r="B854" s="41"/>
      <c r="C854" s="9"/>
      <c r="D854" s="41"/>
      <c r="F854" s="41"/>
      <c r="G854" s="42"/>
      <c r="H854" s="41"/>
      <c r="I854" s="41"/>
    </row>
    <row r="855">
      <c r="A855" s="41"/>
      <c r="B855" s="41"/>
      <c r="C855" s="9"/>
      <c r="D855" s="41"/>
      <c r="F855" s="41"/>
      <c r="G855" s="42"/>
      <c r="H855" s="41"/>
      <c r="I855" s="41"/>
    </row>
    <row r="856">
      <c r="A856" s="41"/>
      <c r="B856" s="41"/>
      <c r="C856" s="9"/>
      <c r="D856" s="41"/>
      <c r="F856" s="41"/>
      <c r="G856" s="42"/>
      <c r="H856" s="41"/>
      <c r="I856" s="41"/>
    </row>
    <row r="857">
      <c r="A857" s="41"/>
      <c r="B857" s="41"/>
      <c r="C857" s="9"/>
      <c r="D857" s="41"/>
      <c r="F857" s="41"/>
      <c r="G857" s="42"/>
      <c r="H857" s="41"/>
      <c r="I857" s="41"/>
    </row>
    <row r="858">
      <c r="A858" s="41"/>
      <c r="B858" s="41"/>
      <c r="C858" s="9"/>
      <c r="D858" s="41"/>
      <c r="F858" s="41"/>
      <c r="G858" s="42"/>
      <c r="H858" s="41"/>
      <c r="I858" s="41"/>
    </row>
    <row r="859">
      <c r="A859" s="41"/>
      <c r="B859" s="41"/>
      <c r="C859" s="9"/>
      <c r="D859" s="41"/>
      <c r="F859" s="41"/>
      <c r="G859" s="42"/>
      <c r="H859" s="41"/>
      <c r="I859" s="41"/>
    </row>
    <row r="860">
      <c r="A860" s="41"/>
      <c r="B860" s="41"/>
      <c r="C860" s="9"/>
      <c r="D860" s="41"/>
      <c r="F860" s="41"/>
      <c r="G860" s="42"/>
      <c r="H860" s="41"/>
      <c r="I860" s="41"/>
    </row>
    <row r="861">
      <c r="A861" s="41"/>
      <c r="B861" s="41"/>
      <c r="C861" s="9"/>
      <c r="D861" s="41"/>
      <c r="F861" s="41"/>
      <c r="G861" s="42"/>
      <c r="H861" s="41"/>
      <c r="I861" s="41"/>
    </row>
    <row r="862">
      <c r="A862" s="41"/>
      <c r="B862" s="41"/>
      <c r="C862" s="9"/>
      <c r="D862" s="41"/>
      <c r="F862" s="41"/>
      <c r="G862" s="42"/>
      <c r="H862" s="41"/>
      <c r="I862" s="41"/>
    </row>
    <row r="863">
      <c r="A863" s="41"/>
      <c r="B863" s="41"/>
      <c r="C863" s="9"/>
      <c r="D863" s="41"/>
      <c r="F863" s="41"/>
      <c r="G863" s="42"/>
      <c r="H863" s="41"/>
      <c r="I863" s="41"/>
    </row>
    <row r="864">
      <c r="A864" s="41"/>
      <c r="B864" s="41"/>
      <c r="C864" s="9"/>
      <c r="D864" s="41"/>
      <c r="F864" s="41"/>
      <c r="G864" s="42"/>
      <c r="H864" s="41"/>
      <c r="I864" s="41"/>
    </row>
    <row r="865">
      <c r="A865" s="41"/>
      <c r="B865" s="41"/>
      <c r="C865" s="9"/>
      <c r="D865" s="41"/>
      <c r="F865" s="41"/>
      <c r="G865" s="42"/>
      <c r="H865" s="41"/>
      <c r="I865" s="41"/>
    </row>
    <row r="866">
      <c r="A866" s="41"/>
      <c r="B866" s="41"/>
      <c r="C866" s="9"/>
      <c r="D866" s="41"/>
      <c r="F866" s="41"/>
      <c r="G866" s="42"/>
      <c r="H866" s="41"/>
      <c r="I866" s="41"/>
    </row>
    <row r="867">
      <c r="A867" s="41"/>
      <c r="B867" s="41"/>
      <c r="C867" s="9"/>
      <c r="D867" s="41"/>
      <c r="F867" s="41"/>
      <c r="G867" s="42"/>
      <c r="H867" s="41"/>
      <c r="I867" s="41"/>
    </row>
    <row r="868">
      <c r="A868" s="41"/>
      <c r="B868" s="41"/>
      <c r="C868" s="9"/>
      <c r="D868" s="41"/>
      <c r="F868" s="41"/>
      <c r="G868" s="42"/>
      <c r="H868" s="41"/>
      <c r="I868" s="41"/>
    </row>
    <row r="869">
      <c r="A869" s="41"/>
      <c r="B869" s="41"/>
      <c r="C869" s="9"/>
      <c r="D869" s="41"/>
      <c r="F869" s="41"/>
      <c r="G869" s="42"/>
      <c r="H869" s="41"/>
      <c r="I869" s="41"/>
    </row>
    <row r="870">
      <c r="A870" s="41"/>
      <c r="B870" s="41"/>
      <c r="C870" s="9"/>
      <c r="D870" s="41"/>
      <c r="F870" s="41"/>
      <c r="G870" s="42"/>
      <c r="H870" s="41"/>
      <c r="I870" s="41"/>
    </row>
    <row r="871">
      <c r="A871" s="41"/>
      <c r="B871" s="41"/>
      <c r="C871" s="9"/>
      <c r="D871" s="41"/>
      <c r="F871" s="41"/>
      <c r="G871" s="42"/>
      <c r="H871" s="41"/>
      <c r="I871" s="41"/>
    </row>
    <row r="872">
      <c r="A872" s="41"/>
      <c r="B872" s="41"/>
      <c r="C872" s="9"/>
      <c r="D872" s="41"/>
      <c r="F872" s="41"/>
      <c r="G872" s="42"/>
      <c r="H872" s="41"/>
      <c r="I872" s="41"/>
    </row>
    <row r="873">
      <c r="A873" s="41"/>
      <c r="B873" s="41"/>
      <c r="C873" s="9"/>
      <c r="D873" s="41"/>
      <c r="F873" s="41"/>
      <c r="G873" s="42"/>
      <c r="H873" s="41"/>
      <c r="I873" s="41"/>
    </row>
    <row r="874">
      <c r="A874" s="41"/>
      <c r="B874" s="41"/>
      <c r="C874" s="9"/>
      <c r="D874" s="41"/>
      <c r="F874" s="41"/>
      <c r="G874" s="42"/>
      <c r="H874" s="41"/>
      <c r="I874" s="41"/>
    </row>
    <row r="875">
      <c r="A875" s="41"/>
      <c r="B875" s="41"/>
      <c r="C875" s="9"/>
      <c r="D875" s="41"/>
      <c r="F875" s="41"/>
      <c r="G875" s="42"/>
      <c r="H875" s="41"/>
      <c r="I875" s="41"/>
    </row>
    <row r="876">
      <c r="A876" s="41"/>
      <c r="B876" s="41"/>
      <c r="C876" s="9"/>
      <c r="D876" s="41"/>
      <c r="F876" s="41"/>
      <c r="G876" s="42"/>
      <c r="H876" s="41"/>
      <c r="I876" s="41"/>
    </row>
    <row r="877">
      <c r="A877" s="41"/>
      <c r="B877" s="41"/>
      <c r="C877" s="9"/>
      <c r="D877" s="41"/>
      <c r="F877" s="41"/>
      <c r="G877" s="42"/>
      <c r="H877" s="41"/>
      <c r="I877" s="41"/>
    </row>
    <row r="878">
      <c r="A878" s="41"/>
      <c r="B878" s="41"/>
      <c r="C878" s="9"/>
      <c r="D878" s="41"/>
      <c r="F878" s="41"/>
      <c r="G878" s="42"/>
      <c r="H878" s="41"/>
      <c r="I878" s="41"/>
    </row>
    <row r="879">
      <c r="A879" s="41"/>
      <c r="B879" s="41"/>
      <c r="C879" s="9"/>
      <c r="D879" s="41"/>
      <c r="F879" s="41"/>
      <c r="G879" s="42"/>
      <c r="H879" s="41"/>
      <c r="I879" s="41"/>
    </row>
    <row r="880">
      <c r="A880" s="41"/>
      <c r="B880" s="41"/>
      <c r="C880" s="9"/>
      <c r="D880" s="41"/>
      <c r="F880" s="41"/>
      <c r="G880" s="42"/>
      <c r="H880" s="41"/>
      <c r="I880" s="41"/>
    </row>
    <row r="881">
      <c r="A881" s="41"/>
      <c r="B881" s="41"/>
      <c r="C881" s="9"/>
      <c r="D881" s="41"/>
      <c r="F881" s="41"/>
      <c r="G881" s="42"/>
      <c r="H881" s="41"/>
      <c r="I881" s="41"/>
    </row>
    <row r="882">
      <c r="A882" s="41"/>
      <c r="B882" s="41"/>
      <c r="C882" s="9"/>
      <c r="D882" s="41"/>
      <c r="F882" s="41"/>
      <c r="G882" s="42"/>
      <c r="H882" s="41"/>
      <c r="I882" s="41"/>
    </row>
    <row r="883">
      <c r="A883" s="41"/>
      <c r="B883" s="41"/>
      <c r="C883" s="9"/>
      <c r="D883" s="41"/>
      <c r="F883" s="41"/>
      <c r="G883" s="42"/>
      <c r="H883" s="41"/>
      <c r="I883" s="41"/>
    </row>
    <row r="884">
      <c r="A884" s="41"/>
      <c r="B884" s="41"/>
      <c r="C884" s="9"/>
      <c r="D884" s="41"/>
      <c r="F884" s="41"/>
      <c r="G884" s="42"/>
      <c r="H884" s="41"/>
      <c r="I884" s="41"/>
    </row>
    <row r="885">
      <c r="A885" s="41"/>
      <c r="B885" s="41"/>
      <c r="C885" s="9"/>
      <c r="D885" s="41"/>
      <c r="F885" s="41"/>
      <c r="G885" s="42"/>
      <c r="H885" s="41"/>
      <c r="I885" s="41"/>
    </row>
    <row r="886">
      <c r="A886" s="41"/>
      <c r="B886" s="41"/>
      <c r="C886" s="9"/>
      <c r="D886" s="41"/>
      <c r="F886" s="41"/>
      <c r="G886" s="42"/>
      <c r="H886" s="41"/>
      <c r="I886" s="41"/>
    </row>
    <row r="887">
      <c r="A887" s="41"/>
      <c r="B887" s="41"/>
      <c r="C887" s="9"/>
      <c r="D887" s="41"/>
      <c r="F887" s="41"/>
      <c r="G887" s="42"/>
      <c r="H887" s="41"/>
      <c r="I887" s="41"/>
    </row>
    <row r="888">
      <c r="A888" s="41"/>
      <c r="B888" s="41"/>
      <c r="C888" s="9"/>
      <c r="D888" s="41"/>
      <c r="F888" s="41"/>
      <c r="G888" s="42"/>
      <c r="H888" s="41"/>
      <c r="I888" s="41"/>
    </row>
    <row r="889">
      <c r="A889" s="41"/>
      <c r="B889" s="41"/>
      <c r="C889" s="9"/>
      <c r="D889" s="41"/>
      <c r="F889" s="41"/>
      <c r="G889" s="42"/>
      <c r="H889" s="41"/>
      <c r="I889" s="41"/>
    </row>
    <row r="890">
      <c r="A890" s="41"/>
      <c r="B890" s="41"/>
      <c r="C890" s="9"/>
      <c r="D890" s="41"/>
      <c r="F890" s="41"/>
      <c r="G890" s="42"/>
      <c r="H890" s="41"/>
      <c r="I890" s="41"/>
    </row>
    <row r="891">
      <c r="A891" s="41"/>
      <c r="B891" s="41"/>
      <c r="C891" s="9"/>
      <c r="D891" s="41"/>
      <c r="F891" s="41"/>
      <c r="G891" s="42"/>
      <c r="H891" s="41"/>
      <c r="I891" s="41"/>
    </row>
    <row r="892">
      <c r="A892" s="41"/>
      <c r="B892" s="41"/>
      <c r="C892" s="9"/>
      <c r="D892" s="41"/>
      <c r="F892" s="41"/>
      <c r="G892" s="42"/>
      <c r="H892" s="41"/>
      <c r="I892" s="41"/>
    </row>
    <row r="893">
      <c r="A893" s="41"/>
      <c r="B893" s="41"/>
      <c r="C893" s="9"/>
      <c r="D893" s="41"/>
      <c r="F893" s="41"/>
      <c r="G893" s="42"/>
      <c r="H893" s="41"/>
      <c r="I893" s="41"/>
    </row>
    <row r="894">
      <c r="A894" s="41"/>
      <c r="B894" s="41"/>
      <c r="C894" s="9"/>
      <c r="D894" s="41"/>
      <c r="F894" s="41"/>
      <c r="G894" s="42"/>
      <c r="H894" s="41"/>
      <c r="I894" s="41"/>
    </row>
    <row r="895">
      <c r="A895" s="41"/>
      <c r="B895" s="41"/>
      <c r="C895" s="9"/>
      <c r="D895" s="41"/>
      <c r="F895" s="41"/>
      <c r="G895" s="42"/>
      <c r="H895" s="41"/>
      <c r="I895" s="41"/>
    </row>
    <row r="896">
      <c r="A896" s="41"/>
      <c r="B896" s="41"/>
      <c r="C896" s="9"/>
      <c r="D896" s="41"/>
      <c r="F896" s="41"/>
      <c r="G896" s="42"/>
      <c r="H896" s="41"/>
      <c r="I896" s="41"/>
    </row>
    <row r="897">
      <c r="A897" s="41"/>
      <c r="B897" s="41"/>
      <c r="C897" s="9"/>
      <c r="D897" s="41"/>
      <c r="F897" s="41"/>
      <c r="G897" s="42"/>
      <c r="H897" s="41"/>
      <c r="I897" s="41"/>
    </row>
    <row r="898">
      <c r="A898" s="41"/>
      <c r="B898" s="41"/>
      <c r="C898" s="9"/>
      <c r="D898" s="41"/>
      <c r="F898" s="41"/>
      <c r="G898" s="42"/>
      <c r="H898" s="41"/>
      <c r="I898" s="41"/>
    </row>
    <row r="899">
      <c r="A899" s="41"/>
      <c r="B899" s="41"/>
      <c r="C899" s="9"/>
      <c r="D899" s="41"/>
      <c r="F899" s="41"/>
      <c r="G899" s="42"/>
      <c r="H899" s="41"/>
      <c r="I899" s="41"/>
    </row>
    <row r="900">
      <c r="A900" s="41"/>
      <c r="B900" s="41"/>
      <c r="C900" s="9"/>
      <c r="D900" s="41"/>
      <c r="F900" s="41"/>
      <c r="G900" s="42"/>
      <c r="H900" s="41"/>
      <c r="I900" s="41"/>
    </row>
    <row r="901">
      <c r="A901" s="41"/>
      <c r="B901" s="41"/>
      <c r="C901" s="9"/>
      <c r="D901" s="41"/>
      <c r="F901" s="41"/>
      <c r="G901" s="42"/>
      <c r="H901" s="41"/>
      <c r="I901" s="41"/>
    </row>
    <row r="902">
      <c r="A902" s="41"/>
      <c r="B902" s="41"/>
      <c r="C902" s="9"/>
      <c r="D902" s="41"/>
      <c r="F902" s="41"/>
      <c r="G902" s="42"/>
      <c r="H902" s="41"/>
      <c r="I902" s="41"/>
    </row>
    <row r="903">
      <c r="A903" s="41"/>
      <c r="B903" s="41"/>
      <c r="C903" s="9"/>
      <c r="D903" s="41"/>
      <c r="F903" s="41"/>
      <c r="G903" s="42"/>
      <c r="H903" s="41"/>
      <c r="I903" s="41"/>
    </row>
    <row r="904">
      <c r="A904" s="41"/>
      <c r="B904" s="41"/>
      <c r="C904" s="9"/>
      <c r="D904" s="41"/>
      <c r="F904" s="41"/>
      <c r="G904" s="42"/>
      <c r="H904" s="41"/>
      <c r="I904" s="41"/>
    </row>
    <row r="905">
      <c r="A905" s="41"/>
      <c r="B905" s="41"/>
      <c r="C905" s="9"/>
      <c r="D905" s="41"/>
      <c r="F905" s="41"/>
      <c r="G905" s="42"/>
      <c r="H905" s="41"/>
      <c r="I905" s="41"/>
    </row>
    <row r="906">
      <c r="A906" s="41"/>
      <c r="B906" s="41"/>
      <c r="C906" s="9"/>
      <c r="D906" s="41"/>
      <c r="F906" s="41"/>
      <c r="G906" s="42"/>
      <c r="H906" s="41"/>
      <c r="I906" s="41"/>
    </row>
    <row r="907">
      <c r="A907" s="41"/>
      <c r="B907" s="41"/>
      <c r="C907" s="9"/>
      <c r="D907" s="41"/>
      <c r="F907" s="41"/>
      <c r="G907" s="42"/>
      <c r="H907" s="41"/>
      <c r="I907" s="41"/>
    </row>
    <row r="908">
      <c r="A908" s="41"/>
      <c r="B908" s="41"/>
      <c r="C908" s="9"/>
      <c r="D908" s="41"/>
      <c r="F908" s="41"/>
      <c r="G908" s="42"/>
      <c r="H908" s="41"/>
      <c r="I908" s="41"/>
    </row>
    <row r="909">
      <c r="A909" s="41"/>
      <c r="B909" s="41"/>
      <c r="C909" s="9"/>
      <c r="D909" s="41"/>
      <c r="F909" s="41"/>
      <c r="G909" s="42"/>
      <c r="H909" s="41"/>
      <c r="I909" s="41"/>
    </row>
    <row r="910">
      <c r="A910" s="41"/>
      <c r="B910" s="41"/>
      <c r="C910" s="9"/>
      <c r="D910" s="41"/>
      <c r="F910" s="41"/>
      <c r="G910" s="42"/>
      <c r="H910" s="41"/>
      <c r="I910" s="41"/>
    </row>
    <row r="911">
      <c r="A911" s="41"/>
      <c r="B911" s="41"/>
      <c r="C911" s="9"/>
      <c r="D911" s="41"/>
      <c r="F911" s="41"/>
      <c r="G911" s="42"/>
      <c r="H911" s="41"/>
      <c r="I911" s="41"/>
    </row>
    <row r="912">
      <c r="A912" s="41"/>
      <c r="B912" s="41"/>
      <c r="C912" s="9"/>
      <c r="D912" s="41"/>
      <c r="F912" s="41"/>
      <c r="G912" s="42"/>
      <c r="H912" s="41"/>
      <c r="I912" s="41"/>
    </row>
    <row r="913">
      <c r="A913" s="41"/>
      <c r="B913" s="41"/>
      <c r="C913" s="9"/>
      <c r="D913" s="41"/>
      <c r="F913" s="41"/>
      <c r="G913" s="42"/>
      <c r="H913" s="41"/>
      <c r="I913" s="41"/>
    </row>
    <row r="914">
      <c r="A914" s="41"/>
      <c r="B914" s="41"/>
      <c r="C914" s="9"/>
      <c r="D914" s="41"/>
      <c r="F914" s="41"/>
      <c r="G914" s="42"/>
      <c r="H914" s="41"/>
      <c r="I914" s="41"/>
    </row>
    <row r="915">
      <c r="A915" s="41"/>
      <c r="B915" s="41"/>
      <c r="C915" s="9"/>
      <c r="D915" s="41"/>
      <c r="F915" s="41"/>
      <c r="G915" s="42"/>
      <c r="H915" s="41"/>
      <c r="I915" s="41"/>
    </row>
    <row r="916">
      <c r="A916" s="41"/>
      <c r="B916" s="41"/>
      <c r="C916" s="9"/>
      <c r="D916" s="41"/>
      <c r="F916" s="41"/>
      <c r="G916" s="42"/>
      <c r="H916" s="41"/>
      <c r="I916" s="41"/>
    </row>
    <row r="917">
      <c r="A917" s="41"/>
      <c r="B917" s="41"/>
      <c r="C917" s="9"/>
      <c r="D917" s="41"/>
      <c r="F917" s="41"/>
      <c r="G917" s="42"/>
      <c r="H917" s="41"/>
      <c r="I917" s="41"/>
    </row>
    <row r="918">
      <c r="A918" s="41"/>
      <c r="B918" s="41"/>
      <c r="C918" s="9"/>
      <c r="D918" s="41"/>
      <c r="F918" s="41"/>
      <c r="G918" s="42"/>
      <c r="H918" s="41"/>
      <c r="I918" s="41"/>
    </row>
    <row r="919">
      <c r="A919" s="41"/>
      <c r="B919" s="41"/>
      <c r="C919" s="9"/>
      <c r="D919" s="41"/>
      <c r="F919" s="41"/>
      <c r="G919" s="42"/>
      <c r="H919" s="41"/>
      <c r="I919" s="41"/>
    </row>
    <row r="920">
      <c r="A920" s="41"/>
      <c r="B920" s="41"/>
      <c r="C920" s="9"/>
      <c r="D920" s="41"/>
      <c r="F920" s="41"/>
      <c r="G920" s="42"/>
      <c r="H920" s="41"/>
      <c r="I920" s="41"/>
    </row>
    <row r="921">
      <c r="A921" s="41"/>
      <c r="B921" s="41"/>
      <c r="C921" s="9"/>
      <c r="D921" s="41"/>
      <c r="F921" s="41"/>
      <c r="G921" s="42"/>
      <c r="H921" s="41"/>
      <c r="I921" s="41"/>
    </row>
    <row r="922">
      <c r="A922" s="41"/>
      <c r="B922" s="41"/>
      <c r="C922" s="9"/>
      <c r="D922" s="41"/>
      <c r="F922" s="41"/>
      <c r="G922" s="42"/>
      <c r="H922" s="41"/>
      <c r="I922" s="41"/>
    </row>
    <row r="923">
      <c r="A923" s="41"/>
      <c r="B923" s="41"/>
      <c r="C923" s="9"/>
      <c r="D923" s="41"/>
      <c r="F923" s="41"/>
      <c r="G923" s="42"/>
      <c r="H923" s="41"/>
      <c r="I923" s="41"/>
    </row>
    <row r="924">
      <c r="A924" s="41"/>
      <c r="B924" s="41"/>
      <c r="C924" s="9"/>
      <c r="D924" s="41"/>
      <c r="F924" s="41"/>
      <c r="G924" s="42"/>
      <c r="H924" s="41"/>
      <c r="I924" s="41"/>
    </row>
    <row r="925">
      <c r="A925" s="41"/>
      <c r="B925" s="41"/>
      <c r="C925" s="9"/>
      <c r="D925" s="41"/>
      <c r="F925" s="41"/>
      <c r="G925" s="42"/>
      <c r="H925" s="41"/>
      <c r="I925" s="41"/>
    </row>
    <row r="926">
      <c r="A926" s="41"/>
      <c r="B926" s="41"/>
      <c r="C926" s="9"/>
      <c r="D926" s="41"/>
      <c r="F926" s="41"/>
      <c r="G926" s="42"/>
      <c r="H926" s="41"/>
      <c r="I926" s="41"/>
    </row>
    <row r="927">
      <c r="A927" s="41"/>
      <c r="B927" s="41"/>
      <c r="C927" s="9"/>
      <c r="D927" s="41"/>
      <c r="F927" s="41"/>
      <c r="G927" s="42"/>
      <c r="H927" s="41"/>
      <c r="I927" s="41"/>
    </row>
    <row r="928">
      <c r="A928" s="41"/>
      <c r="B928" s="41"/>
      <c r="C928" s="9"/>
      <c r="D928" s="41"/>
      <c r="F928" s="41"/>
      <c r="G928" s="42"/>
      <c r="H928" s="41"/>
      <c r="I928" s="41"/>
    </row>
    <row r="929">
      <c r="A929" s="41"/>
      <c r="B929" s="41"/>
      <c r="C929" s="9"/>
      <c r="D929" s="41"/>
      <c r="F929" s="41"/>
      <c r="G929" s="42"/>
      <c r="H929" s="41"/>
      <c r="I929" s="41"/>
    </row>
    <row r="930">
      <c r="A930" s="41"/>
      <c r="B930" s="41"/>
      <c r="C930" s="9"/>
      <c r="D930" s="41"/>
      <c r="F930" s="41"/>
      <c r="G930" s="42"/>
      <c r="H930" s="41"/>
      <c r="I930" s="41"/>
    </row>
    <row r="931">
      <c r="A931" s="41"/>
      <c r="B931" s="41"/>
      <c r="C931" s="9"/>
      <c r="D931" s="41"/>
      <c r="F931" s="41"/>
      <c r="G931" s="42"/>
      <c r="H931" s="41"/>
      <c r="I931" s="41"/>
    </row>
    <row r="932">
      <c r="A932" s="41"/>
      <c r="B932" s="41"/>
      <c r="C932" s="9"/>
      <c r="D932" s="41"/>
      <c r="F932" s="41"/>
      <c r="G932" s="42"/>
      <c r="H932" s="41"/>
      <c r="I932" s="41"/>
    </row>
    <row r="933">
      <c r="A933" s="41"/>
      <c r="B933" s="41"/>
      <c r="C933" s="9"/>
      <c r="D933" s="41"/>
      <c r="F933" s="41"/>
      <c r="G933" s="42"/>
      <c r="H933" s="41"/>
      <c r="I933" s="41"/>
    </row>
    <row r="934">
      <c r="A934" s="41"/>
      <c r="B934" s="41"/>
      <c r="C934" s="9"/>
      <c r="D934" s="41"/>
      <c r="F934" s="41"/>
      <c r="G934" s="42"/>
      <c r="H934" s="41"/>
      <c r="I934" s="41"/>
    </row>
    <row r="935">
      <c r="A935" s="41"/>
      <c r="B935" s="41"/>
      <c r="C935" s="9"/>
      <c r="D935" s="41"/>
      <c r="F935" s="41"/>
      <c r="G935" s="42"/>
      <c r="H935" s="41"/>
      <c r="I935" s="41"/>
    </row>
    <row r="936">
      <c r="A936" s="41"/>
      <c r="B936" s="41"/>
      <c r="C936" s="9"/>
      <c r="D936" s="41"/>
      <c r="F936" s="41"/>
      <c r="G936" s="42"/>
      <c r="H936" s="41"/>
      <c r="I936" s="41"/>
    </row>
    <row r="937">
      <c r="A937" s="41"/>
      <c r="B937" s="41"/>
      <c r="C937" s="9"/>
      <c r="D937" s="41"/>
      <c r="F937" s="41"/>
      <c r="G937" s="42"/>
      <c r="H937" s="41"/>
      <c r="I937" s="41"/>
    </row>
    <row r="938">
      <c r="A938" s="41"/>
      <c r="B938" s="41"/>
      <c r="C938" s="9"/>
      <c r="D938" s="41"/>
      <c r="F938" s="41"/>
      <c r="G938" s="42"/>
      <c r="H938" s="41"/>
      <c r="I938" s="41"/>
    </row>
    <row r="939">
      <c r="A939" s="41"/>
      <c r="B939" s="41"/>
      <c r="C939" s="9"/>
      <c r="D939" s="41"/>
      <c r="F939" s="41"/>
      <c r="G939" s="42"/>
      <c r="H939" s="41"/>
      <c r="I939" s="41"/>
    </row>
    <row r="940">
      <c r="A940" s="41"/>
      <c r="B940" s="41"/>
      <c r="C940" s="9"/>
      <c r="D940" s="41"/>
      <c r="F940" s="41"/>
      <c r="G940" s="42"/>
      <c r="H940" s="41"/>
      <c r="I940" s="41"/>
    </row>
    <row r="941">
      <c r="A941" s="41"/>
      <c r="B941" s="41"/>
      <c r="C941" s="9"/>
      <c r="D941" s="41"/>
      <c r="F941" s="41"/>
      <c r="G941" s="42"/>
      <c r="H941" s="41"/>
      <c r="I941" s="41"/>
    </row>
    <row r="942">
      <c r="A942" s="41"/>
      <c r="B942" s="41"/>
      <c r="C942" s="9"/>
      <c r="D942" s="41"/>
      <c r="F942" s="41"/>
      <c r="G942" s="42"/>
      <c r="H942" s="41"/>
      <c r="I942" s="41"/>
    </row>
    <row r="943">
      <c r="A943" s="41"/>
      <c r="B943" s="41"/>
      <c r="C943" s="9"/>
      <c r="D943" s="41"/>
      <c r="F943" s="41"/>
      <c r="G943" s="42"/>
      <c r="H943" s="41"/>
      <c r="I943" s="41"/>
    </row>
    <row r="944">
      <c r="A944" s="41"/>
      <c r="B944" s="41"/>
      <c r="C944" s="9"/>
      <c r="D944" s="41"/>
      <c r="F944" s="41"/>
      <c r="G944" s="42"/>
      <c r="H944" s="41"/>
      <c r="I944" s="41"/>
    </row>
    <row r="945">
      <c r="A945" s="41"/>
      <c r="B945" s="41"/>
      <c r="C945" s="9"/>
      <c r="D945" s="41"/>
      <c r="F945" s="41"/>
      <c r="G945" s="42"/>
      <c r="H945" s="41"/>
      <c r="I945" s="41"/>
    </row>
    <row r="946">
      <c r="A946" s="41"/>
      <c r="B946" s="41"/>
      <c r="C946" s="9"/>
      <c r="D946" s="41"/>
      <c r="F946" s="41"/>
      <c r="G946" s="42"/>
      <c r="H946" s="41"/>
      <c r="I946" s="41"/>
    </row>
    <row r="947">
      <c r="A947" s="41"/>
      <c r="B947" s="41"/>
      <c r="C947" s="9"/>
      <c r="D947" s="41"/>
      <c r="F947" s="41"/>
      <c r="G947" s="42"/>
      <c r="H947" s="41"/>
      <c r="I947" s="41"/>
    </row>
    <row r="948">
      <c r="A948" s="41"/>
      <c r="B948" s="41"/>
      <c r="C948" s="9"/>
      <c r="D948" s="41"/>
      <c r="F948" s="41"/>
      <c r="G948" s="42"/>
      <c r="H948" s="41"/>
      <c r="I948" s="41"/>
    </row>
    <row r="949">
      <c r="A949" s="41"/>
      <c r="B949" s="41"/>
      <c r="C949" s="9"/>
      <c r="D949" s="41"/>
      <c r="F949" s="41"/>
      <c r="G949" s="42"/>
      <c r="H949" s="41"/>
      <c r="I949" s="41"/>
    </row>
    <row r="950">
      <c r="A950" s="41"/>
      <c r="B950" s="41"/>
      <c r="C950" s="9"/>
      <c r="D950" s="41"/>
      <c r="F950" s="41"/>
      <c r="G950" s="42"/>
      <c r="H950" s="41"/>
      <c r="I950" s="41"/>
    </row>
    <row r="951">
      <c r="A951" s="41"/>
      <c r="B951" s="41"/>
      <c r="C951" s="9"/>
      <c r="D951" s="41"/>
      <c r="F951" s="41"/>
      <c r="G951" s="42"/>
      <c r="H951" s="41"/>
      <c r="I951" s="41"/>
    </row>
    <row r="952">
      <c r="A952" s="41"/>
      <c r="B952" s="41"/>
      <c r="C952" s="9"/>
      <c r="D952" s="41"/>
      <c r="F952" s="41"/>
      <c r="G952" s="42"/>
      <c r="H952" s="41"/>
      <c r="I952" s="41"/>
    </row>
    <row r="953">
      <c r="A953" s="41"/>
      <c r="B953" s="41"/>
      <c r="C953" s="9"/>
      <c r="D953" s="41"/>
      <c r="F953" s="41"/>
      <c r="G953" s="42"/>
      <c r="H953" s="41"/>
      <c r="I953" s="41"/>
    </row>
    <row r="954">
      <c r="A954" s="41"/>
      <c r="B954" s="41"/>
      <c r="C954" s="9"/>
      <c r="D954" s="41"/>
      <c r="F954" s="41"/>
      <c r="G954" s="42"/>
      <c r="H954" s="41"/>
      <c r="I954" s="41"/>
    </row>
    <row r="955">
      <c r="A955" s="41"/>
      <c r="B955" s="41"/>
      <c r="C955" s="9"/>
      <c r="D955" s="41"/>
      <c r="F955" s="41"/>
      <c r="G955" s="42"/>
      <c r="H955" s="41"/>
      <c r="I955" s="41"/>
    </row>
    <row r="956">
      <c r="A956" s="41"/>
      <c r="B956" s="41"/>
      <c r="C956" s="9"/>
      <c r="D956" s="41"/>
      <c r="F956" s="41"/>
      <c r="G956" s="42"/>
      <c r="H956" s="41"/>
      <c r="I956" s="41"/>
    </row>
    <row r="957">
      <c r="A957" s="41"/>
      <c r="B957" s="41"/>
      <c r="C957" s="9"/>
      <c r="D957" s="41"/>
      <c r="F957" s="41"/>
      <c r="G957" s="42"/>
      <c r="H957" s="41"/>
      <c r="I957" s="41"/>
    </row>
    <row r="958">
      <c r="A958" s="41"/>
      <c r="B958" s="41"/>
      <c r="C958" s="9"/>
      <c r="D958" s="41"/>
      <c r="F958" s="41"/>
      <c r="G958" s="42"/>
      <c r="H958" s="41"/>
      <c r="I958" s="41"/>
    </row>
    <row r="959">
      <c r="A959" s="41"/>
      <c r="B959" s="41"/>
      <c r="C959" s="9"/>
      <c r="D959" s="41"/>
      <c r="F959" s="41"/>
      <c r="G959" s="42"/>
      <c r="H959" s="41"/>
      <c r="I959" s="41"/>
    </row>
    <row r="960">
      <c r="A960" s="41"/>
      <c r="B960" s="41"/>
      <c r="C960" s="9"/>
      <c r="D960" s="41"/>
      <c r="F960" s="41"/>
      <c r="G960" s="42"/>
      <c r="H960" s="41"/>
      <c r="I960" s="41"/>
    </row>
    <row r="961">
      <c r="A961" s="41"/>
      <c r="B961" s="41"/>
      <c r="C961" s="9"/>
      <c r="D961" s="41"/>
      <c r="F961" s="41"/>
      <c r="G961" s="42"/>
      <c r="H961" s="41"/>
      <c r="I961" s="41"/>
    </row>
    <row r="962">
      <c r="A962" s="41"/>
      <c r="B962" s="41"/>
      <c r="C962" s="9"/>
      <c r="D962" s="41"/>
      <c r="F962" s="41"/>
      <c r="G962" s="42"/>
      <c r="H962" s="41"/>
      <c r="I962" s="41"/>
    </row>
    <row r="963">
      <c r="A963" s="41"/>
      <c r="B963" s="41"/>
      <c r="C963" s="9"/>
      <c r="D963" s="41"/>
      <c r="F963" s="41"/>
      <c r="G963" s="42"/>
      <c r="H963" s="41"/>
      <c r="I963" s="41"/>
    </row>
    <row r="964">
      <c r="A964" s="41"/>
      <c r="B964" s="41"/>
      <c r="C964" s="9"/>
      <c r="D964" s="41"/>
      <c r="F964" s="41"/>
      <c r="G964" s="42"/>
      <c r="H964" s="41"/>
      <c r="I964" s="41"/>
    </row>
    <row r="965">
      <c r="A965" s="41"/>
      <c r="B965" s="41"/>
      <c r="C965" s="9"/>
      <c r="D965" s="41"/>
      <c r="F965" s="41"/>
      <c r="G965" s="42"/>
      <c r="H965" s="41"/>
      <c r="I965" s="41"/>
    </row>
    <row r="966">
      <c r="A966" s="41"/>
      <c r="B966" s="41"/>
      <c r="C966" s="9"/>
      <c r="D966" s="41"/>
      <c r="F966" s="41"/>
      <c r="G966" s="42"/>
      <c r="H966" s="41"/>
      <c r="I966" s="41"/>
    </row>
    <row r="967">
      <c r="A967" s="41"/>
      <c r="B967" s="41"/>
      <c r="C967" s="9"/>
      <c r="D967" s="41"/>
      <c r="F967" s="41"/>
      <c r="G967" s="42"/>
      <c r="H967" s="41"/>
      <c r="I967" s="41"/>
    </row>
    <row r="968">
      <c r="A968" s="41"/>
      <c r="B968" s="41"/>
      <c r="C968" s="9"/>
      <c r="D968" s="41"/>
      <c r="F968" s="41"/>
      <c r="G968" s="42"/>
      <c r="H968" s="41"/>
      <c r="I968" s="41"/>
    </row>
    <row r="969">
      <c r="A969" s="41"/>
      <c r="B969" s="41"/>
      <c r="C969" s="9"/>
      <c r="D969" s="41"/>
      <c r="F969" s="41"/>
      <c r="G969" s="42"/>
      <c r="H969" s="41"/>
      <c r="I969" s="41"/>
    </row>
    <row r="970">
      <c r="A970" s="41"/>
      <c r="B970" s="41"/>
      <c r="C970" s="9"/>
      <c r="D970" s="41"/>
      <c r="F970" s="41"/>
      <c r="G970" s="42"/>
      <c r="H970" s="41"/>
      <c r="I970" s="41"/>
    </row>
    <row r="971">
      <c r="A971" s="41"/>
      <c r="B971" s="41"/>
      <c r="C971" s="9"/>
      <c r="D971" s="41"/>
      <c r="F971" s="41"/>
      <c r="G971" s="42"/>
      <c r="H971" s="41"/>
      <c r="I971" s="41"/>
    </row>
    <row r="972">
      <c r="A972" s="41"/>
      <c r="B972" s="41"/>
      <c r="C972" s="9"/>
      <c r="D972" s="41"/>
      <c r="F972" s="41"/>
      <c r="G972" s="42"/>
      <c r="H972" s="41"/>
      <c r="I972" s="41"/>
    </row>
    <row r="973">
      <c r="A973" s="41"/>
      <c r="B973" s="41"/>
      <c r="C973" s="9"/>
      <c r="D973" s="41"/>
      <c r="F973" s="41"/>
      <c r="G973" s="42"/>
      <c r="H973" s="41"/>
      <c r="I973" s="41"/>
    </row>
    <row r="974">
      <c r="A974" s="41"/>
      <c r="B974" s="41"/>
      <c r="C974" s="9"/>
      <c r="D974" s="41"/>
      <c r="F974" s="41"/>
      <c r="G974" s="42"/>
      <c r="H974" s="41"/>
      <c r="I974" s="41"/>
    </row>
    <row r="975">
      <c r="A975" s="41"/>
      <c r="B975" s="41"/>
      <c r="C975" s="9"/>
      <c r="D975" s="41"/>
      <c r="F975" s="41"/>
      <c r="G975" s="42"/>
      <c r="H975" s="41"/>
      <c r="I975" s="41"/>
    </row>
    <row r="976">
      <c r="A976" s="41"/>
      <c r="B976" s="41"/>
      <c r="C976" s="9"/>
      <c r="D976" s="41"/>
      <c r="F976" s="41"/>
      <c r="G976" s="42"/>
      <c r="H976" s="41"/>
      <c r="I976" s="41"/>
    </row>
    <row r="977">
      <c r="A977" s="41"/>
      <c r="B977" s="41"/>
      <c r="C977" s="9"/>
      <c r="D977" s="41"/>
      <c r="F977" s="41"/>
      <c r="G977" s="42"/>
      <c r="H977" s="41"/>
      <c r="I977" s="41"/>
    </row>
    <row r="978">
      <c r="A978" s="41"/>
      <c r="B978" s="41"/>
      <c r="C978" s="9"/>
      <c r="D978" s="41"/>
      <c r="F978" s="41"/>
      <c r="G978" s="42"/>
      <c r="H978" s="41"/>
      <c r="I978" s="41"/>
    </row>
    <row r="979">
      <c r="A979" s="41"/>
      <c r="B979" s="41"/>
      <c r="C979" s="9"/>
      <c r="D979" s="41"/>
      <c r="F979" s="41"/>
      <c r="G979" s="42"/>
      <c r="H979" s="41"/>
      <c r="I979" s="41"/>
    </row>
    <row r="980">
      <c r="A980" s="41"/>
      <c r="B980" s="41"/>
      <c r="C980" s="9"/>
      <c r="D980" s="41"/>
      <c r="F980" s="41"/>
      <c r="G980" s="42"/>
      <c r="H980" s="41"/>
      <c r="I980" s="41"/>
    </row>
    <row r="981">
      <c r="A981" s="41"/>
      <c r="B981" s="41"/>
      <c r="C981" s="9"/>
      <c r="D981" s="41"/>
      <c r="F981" s="41"/>
      <c r="G981" s="42"/>
      <c r="H981" s="41"/>
      <c r="I981" s="41"/>
    </row>
    <row r="982">
      <c r="A982" s="41"/>
      <c r="B982" s="41"/>
      <c r="C982" s="9"/>
      <c r="D982" s="41"/>
      <c r="F982" s="41"/>
      <c r="G982" s="42"/>
      <c r="H982" s="41"/>
      <c r="I982" s="41"/>
    </row>
    <row r="983">
      <c r="A983" s="41"/>
      <c r="B983" s="41"/>
      <c r="C983" s="9"/>
      <c r="D983" s="41"/>
      <c r="F983" s="41"/>
      <c r="G983" s="42"/>
      <c r="H983" s="41"/>
      <c r="I983" s="41"/>
    </row>
    <row r="984">
      <c r="A984" s="41"/>
      <c r="B984" s="41"/>
      <c r="C984" s="9"/>
      <c r="D984" s="41"/>
      <c r="F984" s="41"/>
      <c r="G984" s="42"/>
      <c r="H984" s="41"/>
      <c r="I984" s="41"/>
    </row>
    <row r="985">
      <c r="A985" s="41"/>
      <c r="B985" s="41"/>
      <c r="C985" s="9"/>
      <c r="D985" s="41"/>
      <c r="F985" s="41"/>
      <c r="G985" s="42"/>
      <c r="H985" s="41"/>
      <c r="I985" s="41"/>
    </row>
    <row r="986">
      <c r="A986" s="41"/>
      <c r="B986" s="41"/>
      <c r="C986" s="9"/>
      <c r="D986" s="41"/>
      <c r="F986" s="41"/>
      <c r="G986" s="42"/>
      <c r="H986" s="41"/>
      <c r="I986" s="41"/>
    </row>
    <row r="987">
      <c r="A987" s="41"/>
      <c r="B987" s="41"/>
      <c r="C987" s="9"/>
      <c r="D987" s="41"/>
      <c r="F987" s="41"/>
      <c r="G987" s="42"/>
      <c r="H987" s="41"/>
      <c r="I987" s="41"/>
    </row>
    <row r="988">
      <c r="A988" s="41"/>
      <c r="B988" s="41"/>
      <c r="C988" s="9"/>
      <c r="D988" s="41"/>
      <c r="F988" s="41"/>
      <c r="G988" s="42"/>
      <c r="H988" s="41"/>
      <c r="I988" s="41"/>
    </row>
    <row r="989">
      <c r="A989" s="41"/>
      <c r="B989" s="41"/>
      <c r="C989" s="9"/>
      <c r="D989" s="41"/>
      <c r="F989" s="41"/>
      <c r="G989" s="42"/>
      <c r="H989" s="41"/>
      <c r="I989" s="41"/>
    </row>
    <row r="990">
      <c r="A990" s="41"/>
      <c r="B990" s="41"/>
      <c r="C990" s="9"/>
      <c r="D990" s="41"/>
      <c r="F990" s="41"/>
      <c r="G990" s="42"/>
      <c r="H990" s="41"/>
      <c r="I990" s="41"/>
    </row>
    <row r="991">
      <c r="A991" s="41"/>
      <c r="B991" s="41"/>
      <c r="C991" s="9"/>
      <c r="D991" s="41"/>
      <c r="F991" s="41"/>
      <c r="G991" s="42"/>
      <c r="H991" s="41"/>
      <c r="I991" s="41"/>
    </row>
    <row r="992">
      <c r="A992" s="41"/>
      <c r="B992" s="41"/>
      <c r="C992" s="9"/>
      <c r="D992" s="41"/>
      <c r="F992" s="41"/>
      <c r="G992" s="42"/>
      <c r="H992" s="41"/>
      <c r="I992" s="41"/>
    </row>
    <row r="993">
      <c r="A993" s="41"/>
      <c r="B993" s="41"/>
      <c r="C993" s="9"/>
      <c r="D993" s="41"/>
      <c r="F993" s="41"/>
      <c r="G993" s="42"/>
      <c r="H993" s="41"/>
      <c r="I993" s="41"/>
    </row>
    <row r="994">
      <c r="A994" s="41"/>
      <c r="B994" s="41"/>
      <c r="C994" s="9"/>
      <c r="D994" s="41"/>
      <c r="F994" s="41"/>
      <c r="G994" s="42"/>
      <c r="H994" s="41"/>
      <c r="I994" s="41"/>
    </row>
    <row r="995">
      <c r="A995" s="41"/>
      <c r="B995" s="41"/>
      <c r="C995" s="9"/>
      <c r="D995" s="41"/>
      <c r="F995" s="41"/>
      <c r="G995" s="42"/>
      <c r="H995" s="41"/>
      <c r="I995" s="41"/>
    </row>
    <row r="996">
      <c r="A996" s="41"/>
      <c r="B996" s="41"/>
      <c r="C996" s="9"/>
      <c r="D996" s="41"/>
      <c r="F996" s="41"/>
      <c r="G996" s="42"/>
      <c r="H996" s="41"/>
      <c r="I996" s="41"/>
    </row>
    <row r="997">
      <c r="A997" s="41"/>
      <c r="B997" s="41"/>
      <c r="C997" s="9"/>
      <c r="D997" s="41"/>
      <c r="F997" s="41"/>
      <c r="G997" s="42"/>
      <c r="H997" s="41"/>
      <c r="I997" s="41"/>
    </row>
    <row r="998">
      <c r="A998" s="41"/>
      <c r="B998" s="41"/>
      <c r="C998" s="9"/>
      <c r="D998" s="41"/>
      <c r="F998" s="41"/>
      <c r="G998" s="42"/>
      <c r="H998" s="41"/>
      <c r="I998" s="41"/>
    </row>
    <row r="999">
      <c r="A999" s="41"/>
      <c r="B999" s="41"/>
      <c r="C999" s="9"/>
      <c r="D999" s="41"/>
      <c r="F999" s="41"/>
      <c r="G999" s="42"/>
      <c r="H999" s="41"/>
      <c r="I999" s="41"/>
    </row>
    <row r="1000">
      <c r="A1000" s="41"/>
      <c r="B1000" s="41"/>
      <c r="C1000" s="9"/>
      <c r="D1000" s="41"/>
      <c r="F1000" s="41"/>
      <c r="G1000" s="42"/>
      <c r="H1000" s="41"/>
      <c r="I1000" s="41"/>
    </row>
    <row r="1001">
      <c r="A1001" s="41"/>
      <c r="B1001" s="41"/>
      <c r="C1001" s="9"/>
      <c r="D1001" s="41"/>
      <c r="F1001" s="41"/>
      <c r="G1001" s="42"/>
      <c r="H1001" s="41"/>
      <c r="I1001" s="41"/>
    </row>
    <row r="1002">
      <c r="A1002" s="41"/>
      <c r="B1002" s="41"/>
      <c r="C1002" s="9"/>
      <c r="D1002" s="41"/>
      <c r="F1002" s="41"/>
      <c r="G1002" s="42"/>
      <c r="H1002" s="41"/>
      <c r="I1002" s="41"/>
    </row>
    <row r="1003">
      <c r="A1003" s="41"/>
      <c r="B1003" s="41"/>
      <c r="C1003" s="9"/>
      <c r="D1003" s="41"/>
      <c r="F1003" s="41"/>
      <c r="G1003" s="42"/>
      <c r="H1003" s="41"/>
      <c r="I1003" s="41"/>
    </row>
    <row r="1004">
      <c r="A1004" s="41"/>
      <c r="B1004" s="41"/>
      <c r="C1004" s="9"/>
      <c r="D1004" s="41"/>
      <c r="F1004" s="41"/>
      <c r="G1004" s="42"/>
      <c r="H1004" s="41"/>
      <c r="I1004" s="41"/>
    </row>
    <row r="1005">
      <c r="A1005" s="41"/>
      <c r="B1005" s="41"/>
      <c r="C1005" s="9"/>
      <c r="D1005" s="41"/>
      <c r="F1005" s="41"/>
      <c r="G1005" s="42"/>
      <c r="H1005" s="41"/>
      <c r="I1005" s="41"/>
    </row>
  </sheetData>
  <conditionalFormatting sqref="G3:G1005">
    <cfRule type="containsText" dxfId="0" priority="1" operator="containsText" text="Chicago">
      <formula>NOT(ISERROR(SEARCH(("Chicago"),(G3))))</formula>
    </cfRule>
  </conditionalFormatting>
  <hyperlinks>
    <hyperlink r:id="rId1" ref="D30"/>
    <hyperlink r:id="rId2" ref="D55"/>
    <hyperlink r:id="rId3" ref="D6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75"/>
    <col customWidth="1" min="2" max="2" width="15.38"/>
    <col customWidth="1" min="3" max="3" width="14.13"/>
    <col customWidth="1" min="4" max="4" width="32.13"/>
    <col customWidth="1" min="5" max="6" width="13.88"/>
    <col customWidth="1" min="7" max="7" width="36.13"/>
    <col customWidth="1" min="8" max="8" width="36.63"/>
    <col customWidth="1" min="9" max="9" width="3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E2" s="41"/>
      <c r="F2" s="41"/>
    </row>
    <row r="3">
      <c r="A3" s="24"/>
      <c r="B3" s="24"/>
      <c r="C3" s="43"/>
      <c r="D3" s="25"/>
      <c r="E3" s="24"/>
      <c r="F3" s="11"/>
      <c r="G3" s="24"/>
      <c r="H3" s="24"/>
      <c r="I3" s="24"/>
    </row>
    <row r="4">
      <c r="A4" s="5"/>
      <c r="B4" s="5"/>
      <c r="C4" s="43"/>
      <c r="D4" s="5"/>
      <c r="E4" s="5"/>
      <c r="F4" s="7"/>
      <c r="G4" s="5"/>
      <c r="H4" s="5"/>
      <c r="I4" s="5"/>
    </row>
    <row r="5">
      <c r="A5" s="5"/>
      <c r="B5" s="5"/>
      <c r="C5" s="43"/>
      <c r="D5" s="5"/>
      <c r="E5" s="5"/>
      <c r="F5" s="7"/>
      <c r="G5" s="5"/>
      <c r="H5" s="5"/>
      <c r="I5" s="5"/>
    </row>
    <row r="6">
      <c r="A6" s="5"/>
      <c r="B6" s="5"/>
      <c r="C6" s="43"/>
      <c r="D6" s="5"/>
      <c r="E6" s="5"/>
      <c r="F6" s="7"/>
      <c r="G6" s="5"/>
      <c r="H6" s="5"/>
      <c r="I6" s="5"/>
    </row>
    <row r="7">
      <c r="A7" s="5"/>
      <c r="B7" s="5"/>
      <c r="C7" s="43"/>
      <c r="D7" s="5"/>
      <c r="E7" s="5"/>
      <c r="F7" s="11"/>
      <c r="G7" s="5"/>
      <c r="H7" s="5"/>
      <c r="I7" s="5"/>
    </row>
    <row r="8">
      <c r="A8" s="5"/>
      <c r="B8" s="5"/>
      <c r="C8" s="43"/>
      <c r="D8" s="5"/>
      <c r="E8" s="5"/>
      <c r="F8" s="7"/>
      <c r="G8" s="5"/>
      <c r="H8" s="5"/>
      <c r="I8" s="5"/>
    </row>
    <row r="9">
      <c r="A9" s="24"/>
      <c r="B9" s="24"/>
      <c r="C9" s="43"/>
      <c r="D9" s="25"/>
      <c r="E9" s="24"/>
      <c r="F9" s="5"/>
      <c r="G9" s="24"/>
      <c r="H9" s="24"/>
      <c r="I9" s="24"/>
    </row>
    <row r="10">
      <c r="A10" s="5"/>
      <c r="B10" s="5"/>
      <c r="C10" s="43"/>
      <c r="D10" s="5"/>
      <c r="E10" s="5"/>
      <c r="F10" s="27"/>
      <c r="G10" s="5"/>
      <c r="H10" s="5"/>
      <c r="I10" s="5"/>
    </row>
    <row r="11">
      <c r="A11" s="5"/>
      <c r="B11" s="5"/>
      <c r="C11" s="43"/>
      <c r="D11" s="5"/>
      <c r="E11" s="5"/>
      <c r="F11" s="7"/>
      <c r="G11" s="5"/>
      <c r="H11" s="5"/>
      <c r="I11" s="5"/>
    </row>
    <row r="12">
      <c r="A12" s="5"/>
      <c r="B12" s="5"/>
      <c r="C12" s="43"/>
      <c r="D12" s="5"/>
      <c r="E12" s="5"/>
      <c r="F12" s="5"/>
      <c r="G12" s="5"/>
      <c r="H12" s="10"/>
      <c r="I12" s="10"/>
    </row>
    <row r="13">
      <c r="A13" s="5"/>
      <c r="B13" s="5"/>
      <c r="C13" s="43"/>
      <c r="D13" s="5"/>
      <c r="E13" s="5"/>
      <c r="F13" s="7"/>
      <c r="G13" s="5"/>
      <c r="H13" s="5"/>
      <c r="I13" s="5"/>
    </row>
    <row r="14">
      <c r="A14" s="24"/>
      <c r="B14" s="24"/>
      <c r="C14" s="43"/>
      <c r="D14" s="31"/>
      <c r="E14" s="24"/>
      <c r="F14" s="5"/>
      <c r="G14" s="24"/>
      <c r="H14" s="24"/>
      <c r="I14" s="24"/>
    </row>
    <row r="15">
      <c r="A15" s="5"/>
      <c r="B15" s="5"/>
      <c r="C15" s="43"/>
      <c r="D15" s="5"/>
      <c r="E15" s="5"/>
      <c r="F15" s="7"/>
      <c r="G15" s="5"/>
      <c r="H15" s="5"/>
      <c r="I15" s="5"/>
    </row>
    <row r="16">
      <c r="A16" s="5"/>
      <c r="B16" s="5"/>
      <c r="C16" s="43"/>
      <c r="D16" s="5"/>
      <c r="E16" s="5"/>
      <c r="F16" s="7"/>
      <c r="G16" s="5"/>
      <c r="H16" s="10"/>
      <c r="I16" s="10"/>
    </row>
    <row r="17">
      <c r="A17" s="5"/>
      <c r="B17" s="5"/>
      <c r="C17" s="43"/>
      <c r="D17" s="5"/>
      <c r="E17" s="5"/>
      <c r="F17" s="12"/>
      <c r="G17" s="5"/>
      <c r="H17" s="5"/>
      <c r="I17" s="5"/>
    </row>
    <row r="18">
      <c r="A18" s="41"/>
      <c r="B18" s="41"/>
      <c r="E18" s="41"/>
      <c r="F18" s="41"/>
      <c r="G18" s="41"/>
    </row>
    <row r="19">
      <c r="A19" s="5"/>
      <c r="B19" s="5"/>
      <c r="C19" s="43"/>
      <c r="D19" s="5"/>
      <c r="E19" s="5"/>
      <c r="F19" s="7"/>
      <c r="G19" s="5"/>
      <c r="H19" s="5"/>
      <c r="I19" s="5"/>
    </row>
    <row r="20">
      <c r="A20" s="24"/>
      <c r="B20" s="24"/>
      <c r="C20" s="43"/>
      <c r="D20" s="25"/>
      <c r="E20" s="24"/>
      <c r="F20" s="5"/>
      <c r="G20" s="24"/>
      <c r="H20" s="24"/>
      <c r="I20" s="24"/>
    </row>
    <row r="21">
      <c r="A21" s="28"/>
      <c r="B21" s="28"/>
      <c r="C21" s="43"/>
      <c r="D21" s="25"/>
      <c r="E21" s="24"/>
      <c r="F21" s="5"/>
      <c r="G21" s="24"/>
      <c r="H21" s="30"/>
      <c r="I21" s="30"/>
    </row>
    <row r="22">
      <c r="A22" s="5"/>
      <c r="B22" s="5"/>
      <c r="C22" s="43"/>
      <c r="D22" s="5"/>
      <c r="E22" s="5"/>
      <c r="F22" s="7"/>
      <c r="G22" s="5"/>
      <c r="H22" s="5"/>
      <c r="I22" s="5"/>
    </row>
    <row r="23">
      <c r="A23" s="5"/>
      <c r="B23" s="5"/>
      <c r="C23" s="43"/>
      <c r="D23" s="5"/>
      <c r="E23" s="5"/>
      <c r="F23" s="7"/>
      <c r="G23" s="5"/>
      <c r="H23" s="5"/>
      <c r="I23" s="5"/>
    </row>
    <row r="24">
      <c r="A24" s="24"/>
      <c r="B24" s="24"/>
      <c r="C24" s="43"/>
      <c r="D24" s="31"/>
      <c r="E24" s="24"/>
      <c r="F24" s="12"/>
      <c r="G24" s="24"/>
      <c r="H24" s="24"/>
      <c r="I24" s="24"/>
    </row>
    <row r="25">
      <c r="A25" s="5"/>
      <c r="B25" s="5"/>
      <c r="C25" s="43"/>
      <c r="D25" s="5"/>
      <c r="E25" s="5"/>
      <c r="F25" s="5"/>
      <c r="G25" s="5"/>
      <c r="H25" s="5"/>
      <c r="I25" s="5"/>
    </row>
    <row r="26">
      <c r="A26" s="24"/>
      <c r="B26" s="24"/>
      <c r="C26" s="43"/>
      <c r="D26" s="25"/>
      <c r="E26" s="24"/>
      <c r="F26" s="12"/>
      <c r="G26" s="24"/>
      <c r="H26" s="24"/>
      <c r="I26" s="24"/>
    </row>
    <row r="27">
      <c r="A27" s="24"/>
      <c r="B27" s="24"/>
      <c r="C27" s="43"/>
      <c r="D27" s="25"/>
      <c r="E27" s="24"/>
      <c r="F27" s="12"/>
      <c r="G27" s="24"/>
      <c r="H27" s="24"/>
      <c r="I27" s="24"/>
    </row>
    <row r="28">
      <c r="A28" s="5"/>
      <c r="B28" s="5"/>
      <c r="C28" s="43"/>
      <c r="D28" s="13"/>
      <c r="E28" s="5"/>
      <c r="F28" s="5"/>
      <c r="G28" s="5"/>
      <c r="H28" s="5"/>
      <c r="I28" s="5"/>
    </row>
    <row r="29">
      <c r="A29" s="5"/>
      <c r="B29" s="5"/>
      <c r="C29" s="43"/>
      <c r="D29" s="5"/>
      <c r="E29" s="5"/>
      <c r="F29" s="7"/>
      <c r="G29" s="5"/>
      <c r="H29" s="5"/>
      <c r="I29" s="5"/>
    </row>
    <row r="30">
      <c r="A30" s="5"/>
      <c r="B30" s="5"/>
      <c r="C30" s="43"/>
      <c r="D30" s="5"/>
      <c r="E30" s="5"/>
      <c r="F30" s="7"/>
      <c r="G30" s="5"/>
      <c r="H30" s="5"/>
      <c r="I30" s="5"/>
    </row>
    <row r="31">
      <c r="A31" s="24"/>
      <c r="B31" s="24"/>
      <c r="C31" s="43"/>
      <c r="D31" s="25"/>
      <c r="E31" s="24"/>
      <c r="F31" s="5"/>
      <c r="G31" s="24"/>
      <c r="H31" s="24"/>
      <c r="I31" s="24"/>
    </row>
    <row r="32">
      <c r="A32" s="5"/>
      <c r="B32" s="5"/>
      <c r="C32" s="43"/>
      <c r="D32" s="5"/>
      <c r="E32" s="5"/>
      <c r="F32" s="7"/>
      <c r="G32" s="5"/>
      <c r="H32" s="5"/>
      <c r="I32" s="10"/>
    </row>
    <row r="33">
      <c r="A33" s="5"/>
      <c r="B33" s="5"/>
      <c r="C33" s="43"/>
      <c r="D33" s="5"/>
      <c r="E33" s="5"/>
      <c r="F33" s="7"/>
      <c r="G33" s="5"/>
      <c r="H33" s="5"/>
      <c r="I33" s="5"/>
    </row>
    <row r="34">
      <c r="A34" s="5"/>
      <c r="B34" s="5"/>
      <c r="C34" s="43"/>
      <c r="D34" s="5"/>
      <c r="E34" s="5"/>
      <c r="F34" s="7"/>
      <c r="G34" s="5"/>
      <c r="H34" s="5"/>
      <c r="I34" s="5"/>
    </row>
    <row r="35">
      <c r="A35" s="24"/>
      <c r="B35" s="24"/>
      <c r="C35" s="43"/>
      <c r="D35" s="25"/>
      <c r="E35" s="24"/>
      <c r="F35" s="5"/>
      <c r="G35" s="24"/>
      <c r="H35" s="24"/>
      <c r="I35" s="24"/>
    </row>
    <row r="36">
      <c r="A36" s="24"/>
      <c r="B36" s="24"/>
      <c r="C36" s="43"/>
      <c r="D36" s="25"/>
      <c r="E36" s="24"/>
      <c r="F36" s="5"/>
      <c r="G36" s="24"/>
      <c r="H36" s="24"/>
      <c r="I36" s="24"/>
    </row>
    <row r="37">
      <c r="A37" s="5"/>
      <c r="B37" s="5"/>
      <c r="C37" s="43"/>
      <c r="D37" s="5"/>
      <c r="E37" s="5"/>
      <c r="F37" s="7"/>
      <c r="G37" s="5"/>
      <c r="H37" s="5"/>
      <c r="I37" s="5"/>
    </row>
    <row r="38">
      <c r="A38" s="5"/>
      <c r="B38" s="5"/>
      <c r="C38" s="43"/>
      <c r="D38" s="5"/>
      <c r="E38" s="5"/>
      <c r="F38" s="7"/>
      <c r="G38" s="5"/>
      <c r="H38" s="5"/>
      <c r="I38" s="5"/>
    </row>
    <row r="39">
      <c r="A39" s="5"/>
      <c r="B39" s="5"/>
      <c r="C39" s="43"/>
      <c r="D39" s="5"/>
      <c r="E39" s="5"/>
      <c r="F39" s="5"/>
      <c r="G39" s="5"/>
      <c r="H39" s="5"/>
      <c r="I39" s="5"/>
    </row>
    <row r="40">
      <c r="A40" s="5"/>
      <c r="B40" s="5"/>
      <c r="C40" s="43"/>
      <c r="D40" s="5"/>
      <c r="E40" s="5"/>
      <c r="F40" s="7"/>
      <c r="G40" s="5"/>
      <c r="H40" s="5"/>
      <c r="I40" s="5"/>
    </row>
    <row r="41">
      <c r="A41" s="5"/>
      <c r="B41" s="5"/>
      <c r="C41" s="43"/>
      <c r="D41" s="5"/>
      <c r="E41" s="5"/>
      <c r="F41" s="7"/>
      <c r="G41" s="5"/>
      <c r="H41" s="5"/>
      <c r="I41" s="5"/>
    </row>
    <row r="42">
      <c r="A42" s="5"/>
      <c r="B42" s="5"/>
      <c r="C42" s="43"/>
      <c r="D42" s="5"/>
      <c r="E42" s="5"/>
      <c r="F42" s="11"/>
      <c r="G42" s="5"/>
      <c r="H42" s="5"/>
      <c r="I42" s="5"/>
    </row>
    <row r="43">
      <c r="A43" s="24"/>
      <c r="B43" s="24"/>
      <c r="C43" s="43"/>
      <c r="D43" s="25"/>
      <c r="E43" s="24"/>
      <c r="F43" s="5"/>
      <c r="G43" s="24"/>
      <c r="H43" s="24"/>
      <c r="I43" s="24"/>
    </row>
    <row r="44">
      <c r="A44" s="5"/>
      <c r="B44" s="5"/>
      <c r="C44" s="43"/>
      <c r="D44" s="5"/>
      <c r="E44" s="5"/>
      <c r="F44" s="7"/>
      <c r="G44" s="5"/>
      <c r="H44" s="5"/>
      <c r="I44" s="5"/>
    </row>
    <row r="45">
      <c r="A45" s="5"/>
      <c r="B45" s="5"/>
      <c r="C45" s="43"/>
      <c r="D45" s="5"/>
      <c r="E45" s="5"/>
      <c r="F45" s="7"/>
      <c r="G45" s="5"/>
      <c r="H45" s="5"/>
      <c r="I45" s="5"/>
    </row>
    <row r="46">
      <c r="A46" s="5"/>
      <c r="B46" s="5"/>
      <c r="C46" s="43"/>
      <c r="D46" s="5"/>
      <c r="E46" s="5"/>
      <c r="F46" s="7"/>
      <c r="G46" s="5"/>
      <c r="H46" s="5"/>
      <c r="I46" s="5"/>
    </row>
    <row r="47">
      <c r="A47" s="5"/>
      <c r="B47" s="5"/>
      <c r="C47" s="43"/>
      <c r="D47" s="5"/>
      <c r="E47" s="5"/>
      <c r="F47" s="12"/>
      <c r="G47" s="5"/>
      <c r="H47" s="5"/>
      <c r="I47" s="5"/>
    </row>
    <row r="48">
      <c r="A48" s="5"/>
      <c r="B48" s="5"/>
      <c r="C48" s="43"/>
      <c r="D48" s="5"/>
      <c r="E48" s="5"/>
      <c r="F48" s="7"/>
      <c r="G48" s="5"/>
      <c r="H48" s="5"/>
      <c r="I48" s="5"/>
    </row>
    <row r="49">
      <c r="A49" s="24"/>
      <c r="B49" s="24"/>
      <c r="C49" s="43"/>
      <c r="D49" s="25"/>
      <c r="E49" s="24"/>
      <c r="F49" s="5"/>
      <c r="G49" s="24"/>
      <c r="H49" s="24"/>
      <c r="I49" s="24"/>
    </row>
    <row r="50">
      <c r="A50" s="5"/>
      <c r="B50" s="5"/>
      <c r="C50" s="43"/>
      <c r="D50" s="5"/>
      <c r="E50" s="5"/>
      <c r="F50" s="7"/>
      <c r="G50" s="5"/>
      <c r="H50" s="5"/>
      <c r="I50" s="5"/>
    </row>
    <row r="51">
      <c r="A51" s="24"/>
      <c r="B51" s="24"/>
      <c r="C51" s="43"/>
      <c r="D51" s="25"/>
      <c r="E51" s="24"/>
      <c r="F51" s="5"/>
      <c r="G51" s="24"/>
      <c r="H51" s="24"/>
      <c r="I51" s="24"/>
    </row>
    <row r="52">
      <c r="A52" s="24"/>
      <c r="B52" s="24"/>
      <c r="C52" s="43"/>
      <c r="D52" s="25"/>
      <c r="E52" s="24"/>
      <c r="F52" s="24"/>
      <c r="G52" s="24"/>
      <c r="H52" s="24"/>
      <c r="I52" s="24"/>
    </row>
    <row r="53">
      <c r="A53" s="24"/>
      <c r="B53" s="24"/>
      <c r="C53" s="43"/>
      <c r="D53" s="25"/>
      <c r="E53" s="24"/>
      <c r="F53" s="24"/>
      <c r="G53" s="24"/>
      <c r="H53" s="24"/>
      <c r="I53" s="24"/>
    </row>
    <row r="54">
      <c r="A54" s="5"/>
      <c r="B54" s="5"/>
      <c r="C54" s="43"/>
      <c r="D54" s="5"/>
      <c r="E54" s="5"/>
      <c r="F54" s="7"/>
      <c r="G54" s="5"/>
      <c r="H54" s="5"/>
      <c r="I54" s="5"/>
    </row>
    <row r="55">
      <c r="A55" s="5"/>
      <c r="B55" s="5"/>
      <c r="C55" s="43"/>
      <c r="D55" s="22"/>
      <c r="E55" s="5"/>
      <c r="F55" s="12"/>
      <c r="G55" s="5"/>
      <c r="H55" s="5"/>
      <c r="I55" s="5"/>
    </row>
    <row r="56">
      <c r="A56" s="5"/>
      <c r="B56" s="5"/>
      <c r="C56" s="43"/>
      <c r="D56" s="5"/>
      <c r="E56" s="5"/>
      <c r="F56" s="7"/>
      <c r="G56" s="5"/>
      <c r="H56" s="5"/>
      <c r="I56" s="5"/>
    </row>
    <row r="57">
      <c r="A57" s="5"/>
      <c r="B57" s="5"/>
      <c r="C57" s="43"/>
      <c r="D57" s="5"/>
      <c r="E57" s="5"/>
      <c r="F57" s="7"/>
      <c r="G57" s="5"/>
      <c r="H57" s="5"/>
      <c r="I57" s="5"/>
    </row>
    <row r="58">
      <c r="A58" s="5"/>
      <c r="B58" s="5"/>
      <c r="C58" s="43"/>
      <c r="D58" s="5"/>
      <c r="E58" s="5"/>
      <c r="F58" s="7"/>
      <c r="G58" s="5"/>
      <c r="H58" s="5"/>
      <c r="I58" s="5"/>
    </row>
    <row r="59">
      <c r="A59" s="5"/>
      <c r="B59" s="5"/>
      <c r="C59" s="43"/>
      <c r="D59" s="5"/>
      <c r="E59" s="5"/>
      <c r="F59" s="7"/>
      <c r="G59" s="5"/>
      <c r="H59" s="5"/>
      <c r="I59" s="5"/>
    </row>
    <row r="60">
      <c r="A60" s="5"/>
      <c r="B60" s="5"/>
      <c r="C60" s="43"/>
      <c r="D60" s="5"/>
      <c r="E60" s="5"/>
      <c r="F60" s="7"/>
      <c r="G60" s="5"/>
      <c r="H60" s="5"/>
      <c r="I60" s="5"/>
    </row>
    <row r="61">
      <c r="A61" s="24"/>
      <c r="B61" s="24"/>
      <c r="C61" s="43"/>
      <c r="D61" s="31"/>
      <c r="E61" s="24"/>
      <c r="F61" s="23"/>
      <c r="G61" s="24"/>
      <c r="H61" s="24"/>
      <c r="I61" s="24"/>
    </row>
    <row r="62">
      <c r="A62" s="24"/>
      <c r="B62" s="24"/>
      <c r="C62" s="43"/>
      <c r="D62" s="25"/>
      <c r="E62" s="24"/>
      <c r="F62" s="5"/>
      <c r="G62" s="24"/>
      <c r="H62" s="24"/>
      <c r="I62" s="24"/>
    </row>
    <row r="63">
      <c r="A63" s="5"/>
      <c r="B63" s="5"/>
      <c r="C63" s="43"/>
      <c r="D63" s="5"/>
      <c r="E63" s="10"/>
      <c r="F63" s="24"/>
      <c r="G63" s="10"/>
      <c r="H63" s="10"/>
      <c r="I63" s="10"/>
    </row>
    <row r="64">
      <c r="A64" s="5"/>
      <c r="B64" s="5"/>
      <c r="C64" s="43"/>
      <c r="D64" s="5"/>
      <c r="E64" s="5"/>
      <c r="F64" s="7"/>
      <c r="G64" s="5"/>
      <c r="H64" s="10"/>
      <c r="I64" s="10"/>
    </row>
    <row r="65">
      <c r="A65" s="5"/>
      <c r="B65" s="5"/>
      <c r="C65" s="43"/>
      <c r="D65" s="5"/>
      <c r="E65" s="5"/>
      <c r="F65" s="7"/>
      <c r="G65" s="5"/>
      <c r="H65" s="5"/>
      <c r="I65" s="5"/>
    </row>
    <row r="66">
      <c r="A66" s="5"/>
      <c r="B66" s="5"/>
      <c r="C66" s="44"/>
      <c r="D66" s="5"/>
      <c r="E66" s="5"/>
      <c r="F66" s="12"/>
      <c r="G66" s="5"/>
      <c r="H66" s="5"/>
      <c r="I66" s="5"/>
    </row>
    <row r="67">
      <c r="A67" s="5"/>
      <c r="B67" s="5"/>
      <c r="C67" s="43"/>
      <c r="D67" s="5"/>
      <c r="E67" s="5"/>
      <c r="F67" s="7"/>
      <c r="G67" s="5"/>
      <c r="H67" s="5"/>
      <c r="I67" s="5"/>
    </row>
    <row r="68">
      <c r="A68" s="5"/>
      <c r="B68" s="5"/>
      <c r="C68" s="43"/>
      <c r="D68" s="5"/>
      <c r="E68" s="5"/>
      <c r="F68" s="12"/>
      <c r="G68" s="5"/>
      <c r="H68" s="10"/>
      <c r="I68" s="10"/>
    </row>
    <row r="69">
      <c r="A69" s="41"/>
      <c r="B69" s="41"/>
      <c r="E69" s="41"/>
      <c r="F69" s="41"/>
      <c r="G69" s="41"/>
    </row>
    <row r="70">
      <c r="A70" s="41"/>
      <c r="B70" s="41"/>
      <c r="E70" s="41"/>
      <c r="F70" s="41"/>
      <c r="G70" s="41"/>
    </row>
    <row r="71">
      <c r="A71" s="41"/>
      <c r="B71" s="41"/>
      <c r="E71" s="41"/>
      <c r="F71" s="41"/>
      <c r="G71" s="41"/>
    </row>
    <row r="72">
      <c r="A72" s="41"/>
      <c r="B72" s="41"/>
      <c r="E72" s="41"/>
      <c r="F72" s="41"/>
      <c r="G72" s="41"/>
    </row>
    <row r="73">
      <c r="A73" s="24" t="str">
        <f>IFERROR(__xludf.DUMMYFUNCTION("IFERROR(QUERY('All Alumni Unfiltered'!A:AL, ""SELECT *"", 1), ""NO RESULT FOUND"")"),"First Name")</f>
        <v>First Name</v>
      </c>
      <c r="B73" s="24" t="str">
        <f>IFERROR(__xludf.DUMMYFUNCTION("""COMPUTED_VALUE"""),"Last Name")</f>
        <v>Last Name</v>
      </c>
      <c r="C73" s="43" t="str">
        <f>IFERROR(__xludf.DUMMYFUNCTION("""COMPUTED_VALUE"""),"Phone Number")</f>
        <v>Phone Number</v>
      </c>
      <c r="D73" s="25" t="str">
        <f>IFERROR(__xludf.DUMMYFUNCTION("""COMPUTED_VALUE"""),"Email")</f>
        <v>Email</v>
      </c>
      <c r="E73" s="24" t="str">
        <f>IFERROR(__xludf.DUMMYFUNCTION("""COMPUTED_VALUE"""),"Graduation Year")</f>
        <v>Graduation Year</v>
      </c>
      <c r="F73" s="5" t="str">
        <f>IFERROR(__xludf.DUMMYFUNCTION("""COMPUTED_VALUE"""),"Pledge Class")</f>
        <v>Pledge Class</v>
      </c>
      <c r="G73" s="24" t="str">
        <f>IFERROR(__xludf.DUMMYFUNCTION("""COMPUTED_VALUE"""),"Current City")</f>
        <v>Current City</v>
      </c>
      <c r="H73" s="24" t="str">
        <f>IFERROR(__xludf.DUMMYFUNCTION("""COMPUTED_VALUE"""),"Employer")</f>
        <v>Employer</v>
      </c>
      <c r="I73" s="24" t="str">
        <f>IFERROR(__xludf.DUMMYFUNCTION("""COMPUTED_VALUE"""),"Position")</f>
        <v>Position</v>
      </c>
      <c r="J73" s="45" t="str">
        <f>IFERROR(__xludf.DUMMYFUNCTION("""COMPUTED_VALUE"""),"")</f>
        <v/>
      </c>
      <c r="K73" s="45" t="str">
        <f>IFERROR(__xludf.DUMMYFUNCTION("""COMPUTED_VALUE"""),"")</f>
        <v/>
      </c>
      <c r="L73" s="45" t="str">
        <f>IFERROR(__xludf.DUMMYFUNCTION("""COMPUTED_VALUE"""),"")</f>
        <v/>
      </c>
      <c r="M73" s="45" t="str">
        <f>IFERROR(__xludf.DUMMYFUNCTION("""COMPUTED_VALUE"""),"")</f>
        <v/>
      </c>
      <c r="N73" s="45" t="str">
        <f>IFERROR(__xludf.DUMMYFUNCTION("""COMPUTED_VALUE"""),"")</f>
        <v/>
      </c>
      <c r="O73" s="45" t="str">
        <f>IFERROR(__xludf.DUMMYFUNCTION("""COMPUTED_VALUE"""),"")</f>
        <v/>
      </c>
      <c r="P73" s="45" t="str">
        <f>IFERROR(__xludf.DUMMYFUNCTION("""COMPUTED_VALUE"""),"")</f>
        <v/>
      </c>
      <c r="Q73" s="45" t="str">
        <f>IFERROR(__xludf.DUMMYFUNCTION("""COMPUTED_VALUE"""),"")</f>
        <v/>
      </c>
      <c r="R73" s="45" t="str">
        <f>IFERROR(__xludf.DUMMYFUNCTION("""COMPUTED_VALUE"""),"")</f>
        <v/>
      </c>
      <c r="S73" s="45" t="str">
        <f>IFERROR(__xludf.DUMMYFUNCTION("""COMPUTED_VALUE"""),"")</f>
        <v/>
      </c>
      <c r="T73" s="45" t="str">
        <f>IFERROR(__xludf.DUMMYFUNCTION("""COMPUTED_VALUE"""),"")</f>
        <v/>
      </c>
      <c r="U73" s="45" t="str">
        <f>IFERROR(__xludf.DUMMYFUNCTION("""COMPUTED_VALUE"""),"")</f>
        <v/>
      </c>
      <c r="V73" s="45" t="str">
        <f>IFERROR(__xludf.DUMMYFUNCTION("""COMPUTED_VALUE"""),"")</f>
        <v/>
      </c>
      <c r="W73" s="45" t="str">
        <f>IFERROR(__xludf.DUMMYFUNCTION("""COMPUTED_VALUE"""),"")</f>
        <v/>
      </c>
      <c r="X73" s="45" t="str">
        <f>IFERROR(__xludf.DUMMYFUNCTION("""COMPUTED_VALUE"""),"")</f>
        <v/>
      </c>
      <c r="Y73" s="45" t="str">
        <f>IFERROR(__xludf.DUMMYFUNCTION("""COMPUTED_VALUE"""),"")</f>
        <v/>
      </c>
      <c r="Z73" s="45" t="str">
        <f>IFERROR(__xludf.DUMMYFUNCTION("""COMPUTED_VALUE"""),"")</f>
        <v/>
      </c>
    </row>
    <row r="74">
      <c r="A74" s="5" t="str">
        <f>IFERROR(__xludf.DUMMYFUNCTION("""COMPUTED_VALUE"""),"Emily")</f>
        <v>Emily</v>
      </c>
      <c r="B74" s="5" t="str">
        <f>IFERROR(__xludf.DUMMYFUNCTION("""COMPUTED_VALUE"""),"Fischer")</f>
        <v>Fischer</v>
      </c>
      <c r="C74" s="43" t="str">
        <f>IFERROR(__xludf.DUMMYFUNCTION("""COMPUTED_VALUE"""),"(513) 378-6678")</f>
        <v>(513) 378-6678</v>
      </c>
      <c r="D74" s="5" t="str">
        <f>IFERROR(__xludf.DUMMYFUNCTION("""COMPUTED_VALUE"""),"emily.hagenmaier@gmail.com")</f>
        <v>emily.hagenmaier@gmail.com</v>
      </c>
      <c r="E74" s="5">
        <f>IFERROR(__xludf.DUMMYFUNCTION("""COMPUTED_VALUE"""),2013.0)</f>
        <v>2013</v>
      </c>
      <c r="F74" s="5" t="str">
        <f>IFERROR(__xludf.DUMMYFUNCTION("""COMPUTED_VALUE"""),"Alpha")</f>
        <v>Alpha</v>
      </c>
      <c r="G74" s="5" t="str">
        <f>IFERROR(__xludf.DUMMYFUNCTION("""COMPUTED_VALUE"""),"Cincinnati")</f>
        <v>Cincinnati</v>
      </c>
      <c r="H74" s="5" t="str">
        <f>IFERROR(__xludf.DUMMYFUNCTION("""COMPUTED_VALUE"""),"GE Aviation")</f>
        <v>GE Aviation</v>
      </c>
      <c r="I74" s="5" t="str">
        <f>IFERROR(__xludf.DUMMYFUNCTION("""COMPUTED_VALUE"""),"Senior Manufacturing Programs Leader")</f>
        <v>Senior Manufacturing Programs Leader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24" t="str">
        <f>IFERROR(__xludf.DUMMYFUNCTION("""COMPUTED_VALUE"""),"Anne")</f>
        <v>Anne</v>
      </c>
      <c r="B75" s="24" t="str">
        <f>IFERROR(__xludf.DUMMYFUNCTION("""COMPUTED_VALUE"""),"Scowden")</f>
        <v>Scowden</v>
      </c>
      <c r="C75" s="43" t="str">
        <f>IFERROR(__xludf.DUMMYFUNCTION("""COMPUTED_VALUE"""),"(614) 562-5611")</f>
        <v>(614) 562-5611</v>
      </c>
      <c r="D75" s="25" t="str">
        <f>IFERROR(__xludf.DUMMYFUNCTION("""COMPUTED_VALUE"""),"anne.scow@yahoo.com")</f>
        <v>anne.scow@yahoo.com</v>
      </c>
      <c r="E75" s="24">
        <f>IFERROR(__xludf.DUMMYFUNCTION("""COMPUTED_VALUE"""),2015.0)</f>
        <v>2015</v>
      </c>
      <c r="F75" s="5" t="str">
        <f>IFERROR(__xludf.DUMMYFUNCTION("""COMPUTED_VALUE"""),"Alpha")</f>
        <v>Alpha</v>
      </c>
      <c r="G75" s="24" t="str">
        <f>IFERROR(__xludf.DUMMYFUNCTION("""COMPUTED_VALUE"""),"Chicago")</f>
        <v>Chicago</v>
      </c>
      <c r="H75" s="24" t="str">
        <f>IFERROR(__xludf.DUMMYFUNCTION("""COMPUTED_VALUE"""),"Plante Moran")</f>
        <v>Plante Moran</v>
      </c>
      <c r="I75" s="24" t="str">
        <f>IFERROR(__xludf.DUMMYFUNCTION("""COMPUTED_VALUE"""),"Tax In-charge")</f>
        <v>Tax In-charge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5" t="str">
        <f>IFERROR(__xludf.DUMMYFUNCTION("""COMPUTED_VALUE"""),"Tracy")</f>
        <v>Tracy</v>
      </c>
      <c r="B76" s="5" t="str">
        <f>IFERROR(__xludf.DUMMYFUNCTION("""COMPUTED_VALUE"""),"Emery")</f>
        <v>Emery</v>
      </c>
      <c r="C76" s="43" t="str">
        <f>IFERROR(__xludf.DUMMYFUNCTION("""COMPUTED_VALUE"""),"(513) 317-3964")</f>
        <v>(513) 317-3964</v>
      </c>
      <c r="D76" s="5" t="str">
        <f>IFERROR(__xludf.DUMMYFUNCTION("""COMPUTED_VALUE"""),"tracyemery.93@gmail.com")</f>
        <v>tracyemery.93@gmail.com</v>
      </c>
      <c r="E76" s="5">
        <f>IFERROR(__xludf.DUMMYFUNCTION("""COMPUTED_VALUE"""),2015.0)</f>
        <v>2015</v>
      </c>
      <c r="F76" s="7" t="str">
        <f>IFERROR(__xludf.DUMMYFUNCTION("""COMPUTED_VALUE"""),"Alpha")</f>
        <v>Alpha</v>
      </c>
      <c r="G76" s="5" t="str">
        <f>IFERROR(__xludf.DUMMYFUNCTION("""COMPUTED_VALUE"""),"Bradenton, FL ")</f>
        <v>Bradenton, FL </v>
      </c>
      <c r="H76" s="5" t="str">
        <f>IFERROR(__xludf.DUMMYFUNCTION("""COMPUTED_VALUE"""),"Tropicana Brands Group")</f>
        <v>Tropicana Brands Group</v>
      </c>
      <c r="I76" s="5" t="str">
        <f>IFERROR(__xludf.DUMMYFUNCTION("""COMPUTED_VALUE"""),"Senior Manager, Supply Chain ")</f>
        <v>Senior Manager, Supply Chain </v>
      </c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5" t="str">
        <f>IFERROR(__xludf.DUMMYFUNCTION("""COMPUTED_VALUE"""),"David")</f>
        <v>David</v>
      </c>
      <c r="B77" s="5" t="str">
        <f>IFERROR(__xludf.DUMMYFUNCTION("""COMPUTED_VALUE"""),"Cho")</f>
        <v>Cho</v>
      </c>
      <c r="C77" s="43" t="str">
        <f>IFERROR(__xludf.DUMMYFUNCTION("""COMPUTED_VALUE"""),"(206) 384-9255")</f>
        <v>(206) 384-9255</v>
      </c>
      <c r="D77" s="5" t="str">
        <f>IFERROR(__xludf.DUMMYFUNCTION("""COMPUTED_VALUE"""),"cho.681@osu.edu")</f>
        <v>cho.681@osu.edu</v>
      </c>
      <c r="E77" s="5">
        <f>IFERROR(__xludf.DUMMYFUNCTION("""COMPUTED_VALUE"""),2015.0)</f>
        <v>2015</v>
      </c>
      <c r="F77" s="12" t="str">
        <f>IFERROR(__xludf.DUMMYFUNCTION("""COMPUTED_VALUE"""),"Alpha")</f>
        <v>Alpha</v>
      </c>
      <c r="G77" s="5" t="str">
        <f>IFERROR(__xludf.DUMMYFUNCTION("""COMPUTED_VALUE"""),"Chicago, IL")</f>
        <v>Chicago, IL</v>
      </c>
      <c r="H77" s="5" t="str">
        <f>IFERROR(__xludf.DUMMYFUNCTION("""COMPUTED_VALUE"""),"DRW")</f>
        <v>DRW</v>
      </c>
      <c r="I77" s="5" t="str">
        <f>IFERROR(__xludf.DUMMYFUNCTION("""COMPUTED_VALUE"""),"Leadership Rotation Network Analyst ")</f>
        <v>Leadership Rotation Network Analyst </v>
      </c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5" t="str">
        <f>IFERROR(__xludf.DUMMYFUNCTION("""COMPUTED_VALUE"""),"Paul")</f>
        <v>Paul</v>
      </c>
      <c r="B78" s="5" t="str">
        <f>IFERROR(__xludf.DUMMYFUNCTION("""COMPUTED_VALUE"""),"Guzi")</f>
        <v>Guzi</v>
      </c>
      <c r="C78" s="43" t="str">
        <f>IFERROR(__xludf.DUMMYFUNCTION("""COMPUTED_VALUE"""),"(234) 380-7204")</f>
        <v>(234) 380-7204</v>
      </c>
      <c r="D78" s="5" t="str">
        <f>IFERROR(__xludf.DUMMYFUNCTION("""COMPUTED_VALUE"""),"paul.guzi10@gmail.com")</f>
        <v>paul.guzi10@gmail.com</v>
      </c>
      <c r="E78" s="5">
        <f>IFERROR(__xludf.DUMMYFUNCTION("""COMPUTED_VALUE"""),2016.0)</f>
        <v>2016</v>
      </c>
      <c r="F78" s="7" t="str">
        <f>IFERROR(__xludf.DUMMYFUNCTION("""COMPUTED_VALUE"""),"Gamma")</f>
        <v>Gamma</v>
      </c>
      <c r="G78" s="5" t="str">
        <f>IFERROR(__xludf.DUMMYFUNCTION("""COMPUTED_VALUE"""),"Cleveland")</f>
        <v>Cleveland</v>
      </c>
      <c r="H78" s="5" t="str">
        <f>IFERROR(__xludf.DUMMYFUNCTION("""COMPUTED_VALUE"""),"Fidelity investments")</f>
        <v>Fidelity investments</v>
      </c>
      <c r="I78" s="5" t="str">
        <f>IFERROR(__xludf.DUMMYFUNCTION("""COMPUTED_VALUE"""),"Investment Management consultant")</f>
        <v>Investment Management consultant</v>
      </c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5" t="str">
        <f>IFERROR(__xludf.DUMMYFUNCTION("""COMPUTED_VALUE"""),"Katie")</f>
        <v>Katie</v>
      </c>
      <c r="B79" s="5" t="str">
        <f>IFERROR(__xludf.DUMMYFUNCTION("""COMPUTED_VALUE"""),"Hostler")</f>
        <v>Hostler</v>
      </c>
      <c r="C79" s="43" t="str">
        <f>IFERROR(__xludf.DUMMYFUNCTION("""COMPUTED_VALUE"""),"(419) 889-5363")</f>
        <v>(419) 889-5363</v>
      </c>
      <c r="D79" s="13" t="str">
        <f>IFERROR(__xludf.DUMMYFUNCTION("""COMPUTED_VALUE"""),"khostler11@gmail.com")</f>
        <v>khostler11@gmail.com</v>
      </c>
      <c r="E79" s="5">
        <f>IFERROR(__xludf.DUMMYFUNCTION("""COMPUTED_VALUE"""),2016.0)</f>
        <v>2016</v>
      </c>
      <c r="F79" s="12" t="str">
        <f>IFERROR(__xludf.DUMMYFUNCTION("""COMPUTED_VALUE"""),"Alpha")</f>
        <v>Alpha</v>
      </c>
      <c r="G79" s="5" t="str">
        <f>IFERROR(__xludf.DUMMYFUNCTION("""COMPUTED_VALUE"""),"Columbus")</f>
        <v>Columbus</v>
      </c>
      <c r="H79" s="5" t="str">
        <f>IFERROR(__xludf.DUMMYFUNCTION("""COMPUTED_VALUE"""),"Woodco Distributing")</f>
        <v>Woodco Distributing</v>
      </c>
      <c r="I79" s="5" t="str">
        <f>IFERROR(__xludf.DUMMYFUNCTION("""COMPUTED_VALUE"""),"Vice president")</f>
        <v>Vice president</v>
      </c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5" t="str">
        <f>IFERROR(__xludf.DUMMYFUNCTION("""COMPUTED_VALUE"""),"JaNae")</f>
        <v>JaNae</v>
      </c>
      <c r="B80" s="5" t="str">
        <f>IFERROR(__xludf.DUMMYFUNCTION("""COMPUTED_VALUE"""),"Edwards")</f>
        <v>Edwards</v>
      </c>
      <c r="C80" s="43" t="str">
        <f>IFERROR(__xludf.DUMMYFUNCTION("""COMPUTED_VALUE"""),"(614) 273-9296")</f>
        <v>(614) 273-9296</v>
      </c>
      <c r="D80" s="5" t="str">
        <f>IFERROR(__xludf.DUMMYFUNCTION("""COMPUTED_VALUE"""),"edwards.1068@osu.edu")</f>
        <v>edwards.1068@osu.edu</v>
      </c>
      <c r="E80" s="5">
        <f>IFERROR(__xludf.DUMMYFUNCTION("""COMPUTED_VALUE"""),2016.0)</f>
        <v>2016</v>
      </c>
      <c r="F80" s="7" t="str">
        <f>IFERROR(__xludf.DUMMYFUNCTION("""COMPUTED_VALUE"""),"Beta")</f>
        <v>Beta</v>
      </c>
      <c r="G80" s="5" t="str">
        <f>IFERROR(__xludf.DUMMYFUNCTION("""COMPUTED_VALUE"""),"Dallas")</f>
        <v>Dallas</v>
      </c>
      <c r="H80" s="5" t="str">
        <f>IFERROR(__xludf.DUMMYFUNCTION("""COMPUTED_VALUE"""),"Stylenations")</f>
        <v>Stylenations</v>
      </c>
      <c r="I80" s="5" t="str">
        <f>IFERROR(__xludf.DUMMYFUNCTION("""COMPUTED_VALUE"""),"Sample Coordinator")</f>
        <v>Sample Coordinator</v>
      </c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1" t="str">
        <f>IFERROR(__xludf.DUMMYFUNCTION("""COMPUTED_VALUE"""),"Brooke")</f>
        <v>Brooke</v>
      </c>
      <c r="B81" s="41" t="str">
        <f>IFERROR(__xludf.DUMMYFUNCTION("""COMPUTED_VALUE"""),"Tittle")</f>
        <v>Tittle</v>
      </c>
      <c r="C81" s="45" t="str">
        <f>IFERROR(__xludf.DUMMYFUNCTION("""COMPUTED_VALUE"""),"(330) 620-1135")</f>
        <v>(330) 620-1135</v>
      </c>
      <c r="D81" s="45" t="str">
        <f>IFERROR(__xludf.DUMMYFUNCTION("""COMPUTED_VALUE"""),"btittle.9@gmail.com")</f>
        <v>btittle.9@gmail.com</v>
      </c>
      <c r="E81" s="41">
        <f>IFERROR(__xludf.DUMMYFUNCTION("""COMPUTED_VALUE"""),2016.0)</f>
        <v>2016</v>
      </c>
      <c r="F81" s="41" t="str">
        <f>IFERROR(__xludf.DUMMYFUNCTION("""COMPUTED_VALUE"""),"Zeta")</f>
        <v>Zeta</v>
      </c>
      <c r="G81" s="41" t="str">
        <f>IFERROR(__xludf.DUMMYFUNCTION("""COMPUTED_VALUE"""),"Dallas")</f>
        <v>Dallas</v>
      </c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1" t="str">
        <f>IFERROR(__xludf.DUMMYFUNCTION("""COMPUTED_VALUE"""),"Jayna")</f>
        <v>Jayna</v>
      </c>
      <c r="B82" s="41" t="str">
        <f>IFERROR(__xludf.DUMMYFUNCTION("""COMPUTED_VALUE"""),"Wolfe")</f>
        <v>Wolfe</v>
      </c>
      <c r="C82" s="45" t="str">
        <f>IFERROR(__xludf.DUMMYFUNCTION("""COMPUTED_VALUE"""),"(330) 591-1708")</f>
        <v>(330) 591-1708</v>
      </c>
      <c r="D82" s="45" t="str">
        <f>IFERROR(__xludf.DUMMYFUNCTION("""COMPUTED_VALUE"""),"Jayna.wolfe@gmail.com")</f>
        <v>Jayna.wolfe@gmail.com</v>
      </c>
      <c r="E82" s="41">
        <f>IFERROR(__xludf.DUMMYFUNCTION("""COMPUTED_VALUE"""),2016.0)</f>
        <v>2016</v>
      </c>
      <c r="F82" s="41" t="str">
        <f>IFERROR(__xludf.DUMMYFUNCTION("""COMPUTED_VALUE"""),"Alpha")</f>
        <v>Alpha</v>
      </c>
      <c r="G82" s="41" t="str">
        <f>IFERROR(__xludf.DUMMYFUNCTION("""COMPUTED_VALUE"""),"Peachtree Corners, GA")</f>
        <v>Peachtree Corners, GA</v>
      </c>
      <c r="H82" s="45" t="str">
        <f>IFERROR(__xludf.DUMMYFUNCTION("""COMPUTED_VALUE"""),"Intuitive")</f>
        <v>Intuitive</v>
      </c>
      <c r="I82" s="45" t="str">
        <f>IFERROR(__xludf.DUMMYFUNCTION("""COMPUTED_VALUE"""),"Warehouse Manager")</f>
        <v>Warehouse Manager</v>
      </c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1" t="str">
        <f>IFERROR(__xludf.DUMMYFUNCTION("""COMPUTED_VALUE"""),"Rob")</f>
        <v>Rob</v>
      </c>
      <c r="B83" s="41" t="str">
        <f>IFERROR(__xludf.DUMMYFUNCTION("""COMPUTED_VALUE"""),"Hovland")</f>
        <v>Hovland</v>
      </c>
      <c r="C83" s="45" t="str">
        <f>IFERROR(__xludf.DUMMYFUNCTION("""COMPUTED_VALUE"""),"(419) 508-2259")</f>
        <v>(419) 508-2259</v>
      </c>
      <c r="D83" s="45" t="str">
        <f>IFERROR(__xludf.DUMMYFUNCTION("""COMPUTED_VALUE"""),"robfoxriver@gmail.com")</f>
        <v>robfoxriver@gmail.com</v>
      </c>
      <c r="E83" s="41">
        <f>IFERROR(__xludf.DUMMYFUNCTION("""COMPUTED_VALUE"""),2016.0)</f>
        <v>2016</v>
      </c>
      <c r="F83" s="41" t="str">
        <f>IFERROR(__xludf.DUMMYFUNCTION("""COMPUTED_VALUE"""),"Alpha")</f>
        <v>Alpha</v>
      </c>
      <c r="G83" s="41" t="str">
        <f>IFERROR(__xludf.DUMMYFUNCTION("""COMPUTED_VALUE"""),"Foster City, CA ")</f>
        <v>Foster City, CA </v>
      </c>
      <c r="H83" s="45" t="str">
        <f>IFERROR(__xludf.DUMMYFUNCTION("""COMPUTED_VALUE"""),"Zoox")</f>
        <v>Zoox</v>
      </c>
      <c r="I83" s="45" t="str">
        <f>IFERROR(__xludf.DUMMYFUNCTION("""COMPUTED_VALUE"""),"Strategic Sourcing Manager")</f>
        <v>Strategic Sourcing Manager</v>
      </c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5" t="str">
        <f>IFERROR(__xludf.DUMMYFUNCTION("""COMPUTED_VALUE"""),"Tom")</f>
        <v>Tom</v>
      </c>
      <c r="B84" s="5" t="str">
        <f>IFERROR(__xludf.DUMMYFUNCTION("""COMPUTED_VALUE"""),"Weston")</f>
        <v>Weston</v>
      </c>
      <c r="C84" s="43" t="str">
        <f>IFERROR(__xludf.DUMMYFUNCTION("""COMPUTED_VALUE"""),"(703) 405-8332")</f>
        <v>(703) 405-8332</v>
      </c>
      <c r="D84" s="5" t="str">
        <f>IFERROR(__xludf.DUMMYFUNCTION("""COMPUTED_VALUE"""),"twest1294@yahoo.com")</f>
        <v>twest1294@yahoo.com</v>
      </c>
      <c r="E84" s="5">
        <f>IFERROR(__xludf.DUMMYFUNCTION("""COMPUTED_VALUE"""),2017.0)</f>
        <v>2017</v>
      </c>
      <c r="F84" s="7" t="str">
        <f>IFERROR(__xludf.DUMMYFUNCTION("""COMPUTED_VALUE"""),"Alpha")</f>
        <v>Alpha</v>
      </c>
      <c r="G84" s="5" t="str">
        <f>IFERROR(__xludf.DUMMYFUNCTION("""COMPUTED_VALUE"""),"Arlington, VA")</f>
        <v>Arlington, VA</v>
      </c>
      <c r="H84" s="5" t="str">
        <f>IFERROR(__xludf.DUMMYFUNCTION("""COMPUTED_VALUE"""),"ECS")</f>
        <v>ECS</v>
      </c>
      <c r="I84" s="5" t="str">
        <f>IFERROR(__xludf.DUMMYFUNCTION("""COMPUTED_VALUE"""),"Corporate Audit &amp; Policies Manager")</f>
        <v>Corporate Audit &amp; Policies Manager</v>
      </c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24" t="str">
        <f>IFERROR(__xludf.DUMMYFUNCTION("""COMPUTED_VALUE"""),"Yves")</f>
        <v>Yves</v>
      </c>
      <c r="B85" s="24" t="str">
        <f>IFERROR(__xludf.DUMMYFUNCTION("""COMPUTED_VALUE"""),"Amornyard")</f>
        <v>Amornyard</v>
      </c>
      <c r="C85" s="43" t="str">
        <f>IFERROR(__xludf.DUMMYFUNCTION("""COMPUTED_VALUE"""),"(740) 274-3949")</f>
        <v>(740) 274-3949</v>
      </c>
      <c r="D85" s="31" t="str">
        <f>IFERROR(__xludf.DUMMYFUNCTION("""COMPUTED_VALUE"""),"amornyard.8@gmail.com")</f>
        <v>amornyard.8@gmail.com</v>
      </c>
      <c r="E85" s="24">
        <f>IFERROR(__xludf.DUMMYFUNCTION("""COMPUTED_VALUE"""),2017.0)</f>
        <v>2017</v>
      </c>
      <c r="F85" s="5" t="str">
        <f>IFERROR(__xludf.DUMMYFUNCTION("""COMPUTED_VALUE"""),"Epsilon")</f>
        <v>Epsilon</v>
      </c>
      <c r="G85" s="24" t="str">
        <f>IFERROR(__xludf.DUMMYFUNCTION("""COMPUTED_VALUE"""),"Atlanta, GA")</f>
        <v>Atlanta, GA</v>
      </c>
      <c r="H85" s="24" t="str">
        <f>IFERROR(__xludf.DUMMYFUNCTION("""COMPUTED_VALUE"""),"Home Depot")</f>
        <v>Home Depot</v>
      </c>
      <c r="I85" s="24" t="str">
        <f>IFERROR(__xludf.DUMMYFUNCTION("""COMPUTED_VALUE"""),"Senior Client Strategist")</f>
        <v>Senior Client Strategist</v>
      </c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5" t="str">
        <f>IFERROR(__xludf.DUMMYFUNCTION("""COMPUTED_VALUE"""),"Renz")</f>
        <v>Renz</v>
      </c>
      <c r="B86" s="5" t="str">
        <f>IFERROR(__xludf.DUMMYFUNCTION("""COMPUTED_VALUE"""),"Amatorio")</f>
        <v>Amatorio</v>
      </c>
      <c r="C86" s="43" t="str">
        <f>IFERROR(__xludf.DUMMYFUNCTION("""COMPUTED_VALUE"""),"(440) 289-2594")</f>
        <v>(440) 289-2594</v>
      </c>
      <c r="D86" s="13" t="str">
        <f>IFERROR(__xludf.DUMMYFUNCTION("""COMPUTED_VALUE"""),"amatorior8@gmail.com")</f>
        <v>amatorior8@gmail.com</v>
      </c>
      <c r="E86" s="5">
        <f>IFERROR(__xludf.DUMMYFUNCTION("""COMPUTED_VALUE"""),2017.0)</f>
        <v>2017</v>
      </c>
      <c r="F86" s="5" t="str">
        <f>IFERROR(__xludf.DUMMYFUNCTION("""COMPUTED_VALUE"""),"Gamma")</f>
        <v>Gamma</v>
      </c>
      <c r="G86" s="5" t="str">
        <f>IFERROR(__xludf.DUMMYFUNCTION("""COMPUTED_VALUE"""),"Brooklyn")</f>
        <v>Brooklyn</v>
      </c>
      <c r="H86" s="5" t="str">
        <f>IFERROR(__xludf.DUMMYFUNCTION("""COMPUTED_VALUE"""),"CoverMyMeds")</f>
        <v>CoverMyMeds</v>
      </c>
      <c r="I86" s="5" t="str">
        <f>IFERROR(__xludf.DUMMYFUNCTION("""COMPUTED_VALUE"""),"Senior Financial Analyst")</f>
        <v>Senior Financial Analyst</v>
      </c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5" t="str">
        <f>IFERROR(__xludf.DUMMYFUNCTION("""COMPUTED_VALUE"""),"Meg")</f>
        <v>Meg</v>
      </c>
      <c r="B87" s="5" t="str">
        <f>IFERROR(__xludf.DUMMYFUNCTION("""COMPUTED_VALUE"""),"Guo")</f>
        <v>Guo</v>
      </c>
      <c r="C87" s="43" t="str">
        <f>IFERROR(__xludf.DUMMYFUNCTION("""COMPUTED_VALUE"""),"(773) 793-9610")</f>
        <v>(773) 793-9610</v>
      </c>
      <c r="D87" s="5" t="str">
        <f>IFERROR(__xludf.DUMMYFUNCTION("""COMPUTED_VALUE"""),"mguo206@gmail.com")</f>
        <v>mguo206@gmail.com</v>
      </c>
      <c r="E87" s="5">
        <f>IFERROR(__xludf.DUMMYFUNCTION("""COMPUTED_VALUE"""),2017.0)</f>
        <v>2017</v>
      </c>
      <c r="F87" s="11" t="str">
        <f>IFERROR(__xludf.DUMMYFUNCTION("""COMPUTED_VALUE"""),"Alpha")</f>
        <v>Alpha</v>
      </c>
      <c r="G87" s="5" t="str">
        <f>IFERROR(__xludf.DUMMYFUNCTION("""COMPUTED_VALUE"""),"Chicago")</f>
        <v>Chicago</v>
      </c>
      <c r="H87" s="5" t="str">
        <f>IFERROR(__xludf.DUMMYFUNCTION("""COMPUTED_VALUE"""),"JP Morgan Chase &amp; Co")</f>
        <v>JP Morgan Chase &amp; Co</v>
      </c>
      <c r="I87" s="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24" t="str">
        <f>IFERROR(__xludf.DUMMYFUNCTION("""COMPUTED_VALUE"""),"Nick")</f>
        <v>Nick</v>
      </c>
      <c r="B88" s="24" t="str">
        <f>IFERROR(__xludf.DUMMYFUNCTION("""COMPUTED_VALUE"""),"Setser")</f>
        <v>Setser</v>
      </c>
      <c r="C88" s="43" t="str">
        <f>IFERROR(__xludf.DUMMYFUNCTION("""COMPUTED_VALUE"""),"(513) 505-8934")</f>
        <v>(513) 505-8934</v>
      </c>
      <c r="D88" s="25" t="str">
        <f>IFERROR(__xludf.DUMMYFUNCTION("""COMPUTED_VALUE"""),"Nick.setser@gmail.com")</f>
        <v>Nick.setser@gmail.com</v>
      </c>
      <c r="E88" s="24">
        <f>IFERROR(__xludf.DUMMYFUNCTION("""COMPUTED_VALUE"""),2017.0)</f>
        <v>2017</v>
      </c>
      <c r="F88" s="5" t="str">
        <f>IFERROR(__xludf.DUMMYFUNCTION("""COMPUTED_VALUE"""),"Epsilon")</f>
        <v>Epsilon</v>
      </c>
      <c r="G88" s="24" t="str">
        <f>IFERROR(__xludf.DUMMYFUNCTION("""COMPUTED_VALUE"""),"Chicago")</f>
        <v>Chicago</v>
      </c>
      <c r="H88" s="24" t="str">
        <f>IFERROR(__xludf.DUMMYFUNCTION("""COMPUTED_VALUE"""),"United Airlines")</f>
        <v>United Airlines</v>
      </c>
      <c r="I88" s="24" t="str">
        <f>IFERROR(__xludf.DUMMYFUNCTION("""COMPUTED_VALUE"""),"Senior Compensation Analyst")</f>
        <v>Senior Compensation Analyst</v>
      </c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5" t="str">
        <f>IFERROR(__xludf.DUMMYFUNCTION("""COMPUTED_VALUE"""),"Jack")</f>
        <v>Jack</v>
      </c>
      <c r="B89" s="5" t="str">
        <f>IFERROR(__xludf.DUMMYFUNCTION("""COMPUTED_VALUE"""),"Laliberte")</f>
        <v>Laliberte</v>
      </c>
      <c r="C89" s="43" t="str">
        <f>IFERROR(__xludf.DUMMYFUNCTION("""COMPUTED_VALUE"""),"(720) 238-7095")</f>
        <v>(720) 238-7095</v>
      </c>
      <c r="D89" s="5" t="str">
        <f>IFERROR(__xludf.DUMMYFUNCTION("""COMPUTED_VALUE"""),"jrl395@yahoo.com")</f>
        <v>jrl395@yahoo.com</v>
      </c>
      <c r="E89" s="5">
        <f>IFERROR(__xludf.DUMMYFUNCTION("""COMPUTED_VALUE"""),2017.0)</f>
        <v>2017</v>
      </c>
      <c r="F89" s="7" t="str">
        <f>IFERROR(__xludf.DUMMYFUNCTION("""COMPUTED_VALUE"""),"Beta")</f>
        <v>Beta</v>
      </c>
      <c r="G89" s="5" t="str">
        <f>IFERROR(__xludf.DUMMYFUNCTION("""COMPUTED_VALUE"""),"Cleveland")</f>
        <v>Cleveland</v>
      </c>
      <c r="H89" s="5" t="str">
        <f>IFERROR(__xludf.DUMMYFUNCTION("""COMPUTED_VALUE"""),"Journey Wealth")</f>
        <v>Journey Wealth</v>
      </c>
      <c r="I89" s="5" t="str">
        <f>IFERROR(__xludf.DUMMYFUNCTION("""COMPUTED_VALUE"""),"Investments Manager")</f>
        <v>Investments Manager</v>
      </c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5" t="str">
        <f>IFERROR(__xludf.DUMMYFUNCTION("""COMPUTED_VALUE"""),"Carmen")</f>
        <v>Carmen</v>
      </c>
      <c r="B90" s="5" t="str">
        <f>IFERROR(__xludf.DUMMYFUNCTION("""COMPUTED_VALUE"""),"Sabella")</f>
        <v>Sabella</v>
      </c>
      <c r="C90" s="43" t="str">
        <f>IFERROR(__xludf.DUMMYFUNCTION("""COMPUTED_VALUE"""),"(330) 592-3352")</f>
        <v>(330) 592-3352</v>
      </c>
      <c r="D90" s="5" t="str">
        <f>IFERROR(__xludf.DUMMYFUNCTION("""COMPUTED_VALUE"""),"csabella13@yahoo.com")</f>
        <v>csabella13@yahoo.com</v>
      </c>
      <c r="E90" s="5">
        <f>IFERROR(__xludf.DUMMYFUNCTION("""COMPUTED_VALUE"""),2017.0)</f>
        <v>2017</v>
      </c>
      <c r="F90" s="5" t="str">
        <f>IFERROR(__xludf.DUMMYFUNCTION("""COMPUTED_VALUE"""),"Alpha")</f>
        <v>Alpha</v>
      </c>
      <c r="G90" s="5" t="str">
        <f>IFERROR(__xludf.DUMMYFUNCTION("""COMPUTED_VALUE"""),"Cleveland")</f>
        <v>Cleveland</v>
      </c>
      <c r="H90" s="5" t="str">
        <f>IFERROR(__xludf.DUMMYFUNCTION("""COMPUTED_VALUE"""),"EY")</f>
        <v>EY</v>
      </c>
      <c r="I90" s="5" t="str">
        <f>IFERROR(__xludf.DUMMYFUNCTION("""COMPUTED_VALUE"""),"Assurance Senior Manager")</f>
        <v>Assurance Senior Manager</v>
      </c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5" t="str">
        <f>IFERROR(__xludf.DUMMYFUNCTION("""COMPUTED_VALUE"""),"Matt")</f>
        <v>Matt</v>
      </c>
      <c r="B91" s="5" t="str">
        <f>IFERROR(__xludf.DUMMYFUNCTION("""COMPUTED_VALUE"""),"O'Connor")</f>
        <v>O'Connor</v>
      </c>
      <c r="C91" s="43" t="str">
        <f>IFERROR(__xludf.DUMMYFUNCTION("""COMPUTED_VALUE"""),"(901) 412-1531")</f>
        <v>(901) 412-1531</v>
      </c>
      <c r="D91" s="5"/>
      <c r="E91" s="5">
        <f>IFERROR(__xludf.DUMMYFUNCTION("""COMPUTED_VALUE"""),2017.0)</f>
        <v>2017</v>
      </c>
      <c r="F91" s="7" t="str">
        <f>IFERROR(__xludf.DUMMYFUNCTION("""COMPUTED_VALUE"""),"Beta")</f>
        <v>Beta</v>
      </c>
      <c r="G91" s="5" t="str">
        <f>IFERROR(__xludf.DUMMYFUNCTION("""COMPUTED_VALUE"""),"Columbus")</f>
        <v>Columbus</v>
      </c>
      <c r="H91" s="5" t="str">
        <f>IFERROR(__xludf.DUMMYFUNCTION("""COMPUTED_VALUE"""),"Kimball Midwest")</f>
        <v>Kimball Midwest</v>
      </c>
      <c r="I91" s="5" t="str">
        <f>IFERROR(__xludf.DUMMYFUNCTION("""COMPUTED_VALUE"""),"Manager-Benefits and Wellness")</f>
        <v>Manager-Benefits and Wellness</v>
      </c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5" t="str">
        <f>IFERROR(__xludf.DUMMYFUNCTION("""COMPUTED_VALUE"""),"Jon")</f>
        <v>Jon</v>
      </c>
      <c r="B92" s="5" t="str">
        <f>IFERROR(__xludf.DUMMYFUNCTION("""COMPUTED_VALUE"""),"Melfi")</f>
        <v>Melfi</v>
      </c>
      <c r="C92" s="43" t="str">
        <f>IFERROR(__xludf.DUMMYFUNCTION("""COMPUTED_VALUE"""),"(513) 535-4594")</f>
        <v>(513) 535-4594</v>
      </c>
      <c r="D92" s="5" t="str">
        <f>IFERROR(__xludf.DUMMYFUNCTION("""COMPUTED_VALUE"""),"jonmelfi10@gmail.com")</f>
        <v>jonmelfi10@gmail.com</v>
      </c>
      <c r="E92" s="5">
        <f>IFERROR(__xludf.DUMMYFUNCTION("""COMPUTED_VALUE"""),2017.0)</f>
        <v>2017</v>
      </c>
      <c r="F92" s="7" t="str">
        <f>IFERROR(__xludf.DUMMYFUNCTION("""COMPUTED_VALUE"""),"Beta")</f>
        <v>Beta</v>
      </c>
      <c r="G92" s="5" t="str">
        <f>IFERROR(__xludf.DUMMYFUNCTION("""COMPUTED_VALUE"""),"Denver")</f>
        <v>Denver</v>
      </c>
      <c r="H92" s="5" t="str">
        <f>IFERROR(__xludf.DUMMYFUNCTION("""COMPUTED_VALUE"""),"Hutchison PLLC")</f>
        <v>Hutchison PLLC</v>
      </c>
      <c r="I92" s="5" t="str">
        <f>IFERROR(__xludf.DUMMYFUNCTION("""COMPUTED_VALUE"""),"Associate ")</f>
        <v>Associate </v>
      </c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24" t="str">
        <f>IFERROR(__xludf.DUMMYFUNCTION("""COMPUTED_VALUE"""),"Nick")</f>
        <v>Nick</v>
      </c>
      <c r="B93" s="24" t="str">
        <f>IFERROR(__xludf.DUMMYFUNCTION("""COMPUTED_VALUE"""),"Foy")</f>
        <v>Foy</v>
      </c>
      <c r="C93" s="43" t="str">
        <f>IFERROR(__xludf.DUMMYFUNCTION("""COMPUTED_VALUE"""),"(574) 538-8801")</f>
        <v>(574) 538-8801</v>
      </c>
      <c r="D93" s="25" t="str">
        <f>IFERROR(__xludf.DUMMYFUNCTION("""COMPUTED_VALUE"""),"nickfoyhomes@gmail.com")</f>
        <v>nickfoyhomes@gmail.com</v>
      </c>
      <c r="E93" s="24">
        <f>IFERROR(__xludf.DUMMYFUNCTION("""COMPUTED_VALUE"""),2017.0)</f>
        <v>2017</v>
      </c>
      <c r="F93" s="5" t="str">
        <f>IFERROR(__xludf.DUMMYFUNCTION("""COMPUTED_VALUE"""),"Alpha")</f>
        <v>Alpha</v>
      </c>
      <c r="G93" s="24" t="str">
        <f>IFERROR(__xludf.DUMMYFUNCTION("""COMPUTED_VALUE"""),"Elkhart, IN")</f>
        <v>Elkhart, IN</v>
      </c>
      <c r="H93" s="24" t="str">
        <f>IFERROR(__xludf.DUMMYFUNCTION("""COMPUTED_VALUE"""),"RE/MAX")</f>
        <v>RE/MAX</v>
      </c>
      <c r="I93" s="24" t="str">
        <f>IFERROR(__xludf.DUMMYFUNCTION("""COMPUTED_VALUE"""),"Real Estate Agent ")</f>
        <v>Real Estate Agent </v>
      </c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5" t="str">
        <f>IFERROR(__xludf.DUMMYFUNCTION("""COMPUTED_VALUE"""),"Kristin")</f>
        <v>Kristin</v>
      </c>
      <c r="B94" s="5" t="str">
        <f>IFERROR(__xludf.DUMMYFUNCTION("""COMPUTED_VALUE"""),"George")</f>
        <v>George</v>
      </c>
      <c r="C94" s="43" t="str">
        <f>IFERROR(__xludf.DUMMYFUNCTION("""COMPUTED_VALUE"""),"(513) 312-5444")</f>
        <v>(513) 312-5444</v>
      </c>
      <c r="D94" s="5" t="str">
        <f>IFERROR(__xludf.DUMMYFUNCTION("""COMPUTED_VALUE"""),"george.625@osu.edu")</f>
        <v>george.625@osu.edu</v>
      </c>
      <c r="E94" s="5">
        <f>IFERROR(__xludf.DUMMYFUNCTION("""COMPUTED_VALUE"""),2017.0)</f>
        <v>2017</v>
      </c>
      <c r="F94" s="7" t="str">
        <f>IFERROR(__xludf.DUMMYFUNCTION("""COMPUTED_VALUE"""),"Alpha")</f>
        <v>Alpha</v>
      </c>
      <c r="G94" s="5" t="str">
        <f>IFERROR(__xludf.DUMMYFUNCTION("""COMPUTED_VALUE"""),"Mason, OH")</f>
        <v>Mason, OH</v>
      </c>
      <c r="H94" s="5" t="str">
        <f>IFERROR(__xludf.DUMMYFUNCTION("""COMPUTED_VALUE"""),"Ohio Health")</f>
        <v>Ohio Health</v>
      </c>
      <c r="I94" s="5" t="str">
        <f>IFERROR(__xludf.DUMMYFUNCTION("""COMPUTED_VALUE"""),"Clinical Psychologist ")</f>
        <v>Clinical Psychologist </v>
      </c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5" t="str">
        <f>IFERROR(__xludf.DUMMYFUNCTION("""COMPUTED_VALUE"""),"Rona")</f>
        <v>Rona</v>
      </c>
      <c r="B95" s="5" t="str">
        <f>IFERROR(__xludf.DUMMYFUNCTION("""COMPUTED_VALUE"""),"Jiang")</f>
        <v>Jiang</v>
      </c>
      <c r="C95" s="43" t="str">
        <f>IFERROR(__xludf.DUMMYFUNCTION("""COMPUTED_VALUE"""),"(567) 377-3352")</f>
        <v>(567) 377-3352</v>
      </c>
      <c r="D95" s="5" t="str">
        <f>IFERROR(__xludf.DUMMYFUNCTION("""COMPUTED_VALUE"""),"rona.jiang23@gmail.com")</f>
        <v>rona.jiang23@gmail.com</v>
      </c>
      <c r="E95" s="5">
        <f>IFERROR(__xludf.DUMMYFUNCTION("""COMPUTED_VALUE"""),2017.0)</f>
        <v>2017</v>
      </c>
      <c r="F95" s="7" t="str">
        <f>IFERROR(__xludf.DUMMYFUNCTION("""COMPUTED_VALUE"""),"Alpha")</f>
        <v>Alpha</v>
      </c>
      <c r="G95" s="5" t="str">
        <f>IFERROR(__xludf.DUMMYFUNCTION("""COMPUTED_VALUE"""),"New York")</f>
        <v>New York</v>
      </c>
      <c r="H95" s="5" t="str">
        <f>IFERROR(__xludf.DUMMYFUNCTION("""COMPUTED_VALUE"""),"KKR")</f>
        <v>KKR</v>
      </c>
      <c r="I95" s="5" t="str">
        <f>IFERROR(__xludf.DUMMYFUNCTION("""COMPUTED_VALUE"""),"Tech Product Manager")</f>
        <v>Tech Product Manager</v>
      </c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24" t="str">
        <f>IFERROR(__xludf.DUMMYFUNCTION("""COMPUTED_VALUE"""),"David")</f>
        <v>David</v>
      </c>
      <c r="B96" s="24" t="str">
        <f>IFERROR(__xludf.DUMMYFUNCTION("""COMPUTED_VALUE"""),"Lim")</f>
        <v>Lim</v>
      </c>
      <c r="C96" s="43" t="str">
        <f>IFERROR(__xludf.DUMMYFUNCTION("""COMPUTED_VALUE"""),"(440) 231-9473")</f>
        <v>(440) 231-9473</v>
      </c>
      <c r="D96" s="25" t="str">
        <f>IFERROR(__xludf.DUMMYFUNCTION("""COMPUTED_VALUE"""),"drenzolim@gmail.com")</f>
        <v>drenzolim@gmail.com</v>
      </c>
      <c r="E96" s="24">
        <f>IFERROR(__xludf.DUMMYFUNCTION("""COMPUTED_VALUE"""),2017.0)</f>
        <v>2017</v>
      </c>
      <c r="F96" s="24" t="str">
        <f>IFERROR(__xludf.DUMMYFUNCTION("""COMPUTED_VALUE"""),"Alpha")</f>
        <v>Alpha</v>
      </c>
      <c r="G96" s="24" t="str">
        <f>IFERROR(__xludf.DUMMYFUNCTION("""COMPUTED_VALUE"""),"New York")</f>
        <v>New York</v>
      </c>
      <c r="H96" s="24" t="str">
        <f>IFERROR(__xludf.DUMMYFUNCTION("""COMPUTED_VALUE"""),"Citi ")</f>
        <v>Citi </v>
      </c>
      <c r="I96" s="24" t="str">
        <f>IFERROR(__xludf.DUMMYFUNCTION("""COMPUTED_VALUE"""),"Senior Vice President ")</f>
        <v>Senior Vice President </v>
      </c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5" t="str">
        <f>IFERROR(__xludf.DUMMYFUNCTION("""COMPUTED_VALUE"""),"Sierra")</f>
        <v>Sierra</v>
      </c>
      <c r="B97" s="5" t="str">
        <f>IFERROR(__xludf.DUMMYFUNCTION("""COMPUTED_VALUE"""),"Martin")</f>
        <v>Martin</v>
      </c>
      <c r="C97" s="43" t="str">
        <f>IFERROR(__xludf.DUMMYFUNCTION("""COMPUTED_VALUE"""),"(207) 347-9458")</f>
        <v>(207) 347-9458</v>
      </c>
      <c r="D97" s="5" t="str">
        <f>IFERROR(__xludf.DUMMYFUNCTION("""COMPUTED_VALUE"""),"sierrapaige96@gmail.com")</f>
        <v>sierrapaige96@gmail.com</v>
      </c>
      <c r="E97" s="5">
        <f>IFERROR(__xludf.DUMMYFUNCTION("""COMPUTED_VALUE"""),2017.0)</f>
        <v>2017</v>
      </c>
      <c r="F97" s="7" t="str">
        <f>IFERROR(__xludf.DUMMYFUNCTION("""COMPUTED_VALUE"""),"Alpha")</f>
        <v>Alpha</v>
      </c>
      <c r="G97" s="5" t="str">
        <f>IFERROR(__xludf.DUMMYFUNCTION("""COMPUTED_VALUE"""),"New York")</f>
        <v>New York</v>
      </c>
      <c r="H97" s="5" t="str">
        <f>IFERROR(__xludf.DUMMYFUNCTION("""COMPUTED_VALUE"""),"NBA")</f>
        <v>NBA</v>
      </c>
      <c r="I97" s="5" t="str">
        <f>IFERROR(__xludf.DUMMYFUNCTION("""COMPUTED_VALUE"""),"Director, Viewership Innovation")</f>
        <v>Director, Viewership Innovation</v>
      </c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24" t="str">
        <f>IFERROR(__xludf.DUMMYFUNCTION("""COMPUTED_VALUE"""),"Saufi Mohd")</f>
        <v>Saufi Mohd</v>
      </c>
      <c r="B98" s="24" t="str">
        <f>IFERROR(__xludf.DUMMYFUNCTION("""COMPUTED_VALUE"""),"Nor")</f>
        <v>Nor</v>
      </c>
      <c r="C98" s="43" t="str">
        <f>IFERROR(__xludf.DUMMYFUNCTION("""COMPUTED_VALUE"""),"(614) 531-6097")</f>
        <v>(614) 531-6097</v>
      </c>
      <c r="D98" s="25" t="str">
        <f>IFERROR(__xludf.DUMMYFUNCTION("""COMPUTED_VALUE"""),"saufimohdnor@gmail.com")</f>
        <v>saufimohdnor@gmail.com</v>
      </c>
      <c r="E98" s="24">
        <f>IFERROR(__xludf.DUMMYFUNCTION("""COMPUTED_VALUE"""),2017.0)</f>
        <v>2017</v>
      </c>
      <c r="F98" s="24" t="str">
        <f>IFERROR(__xludf.DUMMYFUNCTION("""COMPUTED_VALUE"""),"Gamma")</f>
        <v>Gamma</v>
      </c>
      <c r="G98" s="24" t="str">
        <f>IFERROR(__xludf.DUMMYFUNCTION("""COMPUTED_VALUE"""),"Malaysia ")</f>
        <v>Malaysia </v>
      </c>
      <c r="H98" s="24" t="str">
        <f>IFERROR(__xludf.DUMMYFUNCTION("""COMPUTED_VALUE"""),"Ogilvy")</f>
        <v>Ogilvy</v>
      </c>
      <c r="I98" s="24" t="str">
        <f>IFERROR(__xludf.DUMMYFUNCTION("""COMPUTED_VALUE"""),"Senior Social Media &amp; Influencer Marketing Manager")</f>
        <v>Senior Social Media &amp; Influencer Marketing Manager</v>
      </c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5" t="str">
        <f>IFERROR(__xludf.DUMMYFUNCTION("""COMPUTED_VALUE"""),"Tristan")</f>
        <v>Tristan</v>
      </c>
      <c r="B99" s="5" t="str">
        <f>IFERROR(__xludf.DUMMYFUNCTION("""COMPUTED_VALUE"""),"Singer")</f>
        <v>Singer</v>
      </c>
      <c r="C99" s="43" t="str">
        <f>IFERROR(__xludf.DUMMYFUNCTION("""COMPUTED_VALUE"""),"(937) 508-1062")</f>
        <v>(937) 508-1062</v>
      </c>
      <c r="D99" s="5" t="str">
        <f>IFERROR(__xludf.DUMMYFUNCTION("""COMPUTED_VALUE"""),"tristan.clark.singer@gmail.com")</f>
        <v>tristan.clark.singer@gmail.com</v>
      </c>
      <c r="E99" s="5">
        <f>IFERROR(__xludf.DUMMYFUNCTION("""COMPUTED_VALUE"""),2017.0)</f>
        <v>2017</v>
      </c>
      <c r="F99" s="7" t="str">
        <f>IFERROR(__xludf.DUMMYFUNCTION("""COMPUTED_VALUE"""),"Beta")</f>
        <v>Beta</v>
      </c>
      <c r="G99" s="5" t="str">
        <f>IFERROR(__xludf.DUMMYFUNCTION("""COMPUTED_VALUE"""),"Portland, ME")</f>
        <v>Portland, ME</v>
      </c>
      <c r="H99" s="5" t="str">
        <f>IFERROR(__xludf.DUMMYFUNCTION("""COMPUTED_VALUE"""),"Chenmark")</f>
        <v>Chenmark</v>
      </c>
      <c r="I99" s="5" t="str">
        <f>IFERROR(__xludf.DUMMYFUNCTION("""COMPUTED_VALUE"""),"Vice President")</f>
        <v>Vice President</v>
      </c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5" t="str">
        <f>IFERROR(__xludf.DUMMYFUNCTION("""COMPUTED_VALUE"""),"Andrew")</f>
        <v>Andrew</v>
      </c>
      <c r="B100" s="5" t="str">
        <f>IFERROR(__xludf.DUMMYFUNCTION("""COMPUTED_VALUE"""),"Shannon")</f>
        <v>Shannon</v>
      </c>
      <c r="C100" s="43" t="str">
        <f>IFERROR(__xludf.DUMMYFUNCTION("""COMPUTED_VALUE"""),"(925) 771-0670")</f>
        <v>(925) 771-0670</v>
      </c>
      <c r="D100" s="5" t="str">
        <f>IFERROR(__xludf.DUMMYFUNCTION("""COMPUTED_VALUE"""),"atshannon523@gmail.com")</f>
        <v>atshannon523@gmail.com</v>
      </c>
      <c r="E100" s="5">
        <f>IFERROR(__xludf.DUMMYFUNCTION("""COMPUTED_VALUE"""),2017.0)</f>
        <v>2017</v>
      </c>
      <c r="F100" s="7" t="str">
        <f>IFERROR(__xludf.DUMMYFUNCTION("""COMPUTED_VALUE"""),"Beta")</f>
        <v>Beta</v>
      </c>
      <c r="G100" s="5" t="str">
        <f>IFERROR(__xludf.DUMMYFUNCTION("""COMPUTED_VALUE"""),"Sacramento, CA")</f>
        <v>Sacramento, CA</v>
      </c>
      <c r="H100" s="5" t="str">
        <f>IFERROR(__xludf.DUMMYFUNCTION("""COMPUTED_VALUE"""),"BoaVida Group")</f>
        <v>BoaVida Group</v>
      </c>
      <c r="I100" s="5" t="str">
        <f>IFERROR(__xludf.DUMMYFUNCTION("""COMPUTED_VALUE"""),"Financial Asset Manager")</f>
        <v>Financial Asset Manager</v>
      </c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5" t="str">
        <f>IFERROR(__xludf.DUMMYFUNCTION("""COMPUTED_VALUE"""),"Sydney")</f>
        <v>Sydney</v>
      </c>
      <c r="B101" s="5" t="str">
        <f>IFERROR(__xludf.DUMMYFUNCTION("""COMPUTED_VALUE"""),"Sundell")</f>
        <v>Sundell</v>
      </c>
      <c r="C101" s="43" t="str">
        <f>IFERROR(__xludf.DUMMYFUNCTION("""COMPUTED_VALUE"""),"(240) 595-4990")</f>
        <v>(240) 595-4990</v>
      </c>
      <c r="D101" s="5" t="str">
        <f>IFERROR(__xludf.DUMMYFUNCTION("""COMPUTED_VALUE"""),"sydney.sundell@gmail.com")</f>
        <v>sydney.sundell@gmail.com</v>
      </c>
      <c r="E101" s="5">
        <f>IFERROR(__xludf.DUMMYFUNCTION("""COMPUTED_VALUE"""),2017.0)</f>
        <v>2017</v>
      </c>
      <c r="F101" s="7" t="str">
        <f>IFERROR(__xludf.DUMMYFUNCTION("""COMPUTED_VALUE"""),"Beta")</f>
        <v>Beta</v>
      </c>
      <c r="G101" s="5" t="str">
        <f>IFERROR(__xludf.DUMMYFUNCTION("""COMPUTED_VALUE"""),"San Francisco, CA")</f>
        <v>San Francisco, CA</v>
      </c>
      <c r="H101" s="5" t="str">
        <f>IFERROR(__xludf.DUMMYFUNCTION("""COMPUTED_VALUE"""),"Databricks")</f>
        <v>Databricks</v>
      </c>
      <c r="I101" s="5" t="str">
        <f>IFERROR(__xludf.DUMMYFUNCTION("""COMPUTED_VALUE"""),"Product Marketing Growth ")</f>
        <v>Product Marketing Growth </v>
      </c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5" t="str">
        <f>IFERROR(__xludf.DUMMYFUNCTION("""COMPUTED_VALUE"""),"Aaron")</f>
        <v>Aaron</v>
      </c>
      <c r="B102" s="5" t="str">
        <f>IFERROR(__xludf.DUMMYFUNCTION("""COMPUTED_VALUE"""),"Jones")</f>
        <v>Jones</v>
      </c>
      <c r="C102" s="43" t="str">
        <f>IFERROR(__xludf.DUMMYFUNCTION("""COMPUTED_VALUE"""),"(513) 257-1430")</f>
        <v>(513) 257-1430</v>
      </c>
      <c r="D102" s="5" t="str">
        <f>IFERROR(__xludf.DUMMYFUNCTION("""COMPUTED_VALUE"""),"aaronjpct.ulbnq@8alias.com")</f>
        <v>aaronjpct.ulbnq@8alias.com</v>
      </c>
      <c r="E102" s="5">
        <f>IFERROR(__xludf.DUMMYFUNCTION("""COMPUTED_VALUE"""),2017.0)</f>
        <v>2017</v>
      </c>
      <c r="F102" s="12" t="str">
        <f>IFERROR(__xludf.DUMMYFUNCTION("""COMPUTED_VALUE"""),"Epsilon")</f>
        <v>Epsilon</v>
      </c>
      <c r="G102" s="5"/>
      <c r="H102" s="5"/>
      <c r="I102" s="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5" t="str">
        <f>IFERROR(__xludf.DUMMYFUNCTION("""COMPUTED_VALUE"""),"Casey")</f>
        <v>Casey</v>
      </c>
      <c r="B103" s="5" t="str">
        <f>IFERROR(__xludf.DUMMYFUNCTION("""COMPUTED_VALUE"""),"Li")</f>
        <v>Li</v>
      </c>
      <c r="C103" s="43" t="str">
        <f>IFERROR(__xludf.DUMMYFUNCTION("""COMPUTED_VALUE"""),"(614) 886-5243")</f>
        <v>(614) 886-5243</v>
      </c>
      <c r="D103" s="5" t="str">
        <f>IFERROR(__xludf.DUMMYFUNCTION("""COMPUTED_VALUE"""),"li.4422@osu.edu")</f>
        <v>li.4422@osu.edu</v>
      </c>
      <c r="E103" s="5">
        <f>IFERROR(__xludf.DUMMYFUNCTION("""COMPUTED_VALUE"""),2017.0)</f>
        <v>2017</v>
      </c>
      <c r="F103" s="7" t="str">
        <f>IFERROR(__xludf.DUMMYFUNCTION("""COMPUTED_VALUE"""),"Gamma")</f>
        <v>Gamma</v>
      </c>
      <c r="G103" s="10"/>
      <c r="H103" s="10"/>
      <c r="I103" s="10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1" t="str">
        <f>IFERROR(__xludf.DUMMYFUNCTION("""COMPUTED_VALUE"""),"Justin")</f>
        <v>Justin</v>
      </c>
      <c r="B104" s="41" t="str">
        <f>IFERROR(__xludf.DUMMYFUNCTION("""COMPUTED_VALUE"""),"Lun")</f>
        <v>Lun</v>
      </c>
      <c r="C104" s="45" t="str">
        <f>IFERROR(__xludf.DUMMYFUNCTION("""COMPUTED_VALUE"""),"(917) 601-9537")</f>
        <v>(917) 601-9537</v>
      </c>
      <c r="D104" s="45" t="str">
        <f>IFERROR(__xludf.DUMMYFUNCTION("""COMPUTED_VALUE"""),"Justinrlun@gmail.com")</f>
        <v>Justinrlun@gmail.com</v>
      </c>
      <c r="E104" s="41">
        <f>IFERROR(__xludf.DUMMYFUNCTION("""COMPUTED_VALUE"""),2017.0)</f>
        <v>2017</v>
      </c>
      <c r="F104" s="41" t="str">
        <f>IFERROR(__xludf.DUMMYFUNCTION("""COMPUTED_VALUE"""),"Epsilon")</f>
        <v>Epsilon</v>
      </c>
      <c r="G104" s="41"/>
      <c r="H104" s="45" t="str">
        <f>IFERROR(__xludf.DUMMYFUNCTION("""COMPUTED_VALUE"""),"Rockwell Automation")</f>
        <v>Rockwell Automation</v>
      </c>
      <c r="I104" s="45" t="str">
        <f>IFERROR(__xludf.DUMMYFUNCTION("""COMPUTED_VALUE"""),"Secure Digital Operations Sales Executive")</f>
        <v>Secure Digital Operations Sales Executive</v>
      </c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24" t="str">
        <f>IFERROR(__xludf.DUMMYFUNCTION("""COMPUTED_VALUE"""),"Mona")</f>
        <v>Mona</v>
      </c>
      <c r="B105" s="24" t="str">
        <f>IFERROR(__xludf.DUMMYFUNCTION("""COMPUTED_VALUE"""),"Zhang")</f>
        <v>Zhang</v>
      </c>
      <c r="C105" s="43" t="str">
        <f>IFERROR(__xludf.DUMMYFUNCTION("""COMPUTED_VALUE"""),"(614) 886-5205")</f>
        <v>(614) 886-5205</v>
      </c>
      <c r="D105" s="25" t="str">
        <f>IFERROR(__xludf.DUMMYFUNCTION("""COMPUTED_VALUE"""),"zhang.4118@osu.edu")</f>
        <v>zhang.4118@osu.edu</v>
      </c>
      <c r="E105" s="24">
        <f>IFERROR(__xludf.DUMMYFUNCTION("""COMPUTED_VALUE"""),2017.0)</f>
        <v>2017</v>
      </c>
      <c r="F105" s="5" t="str">
        <f>IFERROR(__xludf.DUMMYFUNCTION("""COMPUTED_VALUE"""),"Beta")</f>
        <v>Beta</v>
      </c>
      <c r="G105" s="24"/>
      <c r="H105" s="24"/>
      <c r="I105" s="24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24" t="str">
        <f>IFERROR(__xludf.DUMMYFUNCTION("""COMPUTED_VALUE"""),"Michael")</f>
        <v>Michael</v>
      </c>
      <c r="B106" s="24" t="str">
        <f>IFERROR(__xludf.DUMMYFUNCTION("""COMPUTED_VALUE"""),"Korn")</f>
        <v>Korn</v>
      </c>
      <c r="C106" s="43" t="str">
        <f>IFERROR(__xludf.DUMMYFUNCTION("""COMPUTED_VALUE"""),"(847) 714-2861")</f>
        <v>(847) 714-2861</v>
      </c>
      <c r="D106" s="25" t="str">
        <f>IFERROR(__xludf.DUMMYFUNCTION("""COMPUTED_VALUE"""),"mkorn16@gmail.com")</f>
        <v>mkorn16@gmail.com</v>
      </c>
      <c r="E106" s="24">
        <f>IFERROR(__xludf.DUMMYFUNCTION("""COMPUTED_VALUE"""),2018.0)</f>
        <v>2018</v>
      </c>
      <c r="F106" s="5" t="str">
        <f>IFERROR(__xludf.DUMMYFUNCTION("""COMPUTED_VALUE"""),"Zeta")</f>
        <v>Zeta</v>
      </c>
      <c r="G106" s="24" t="str">
        <f>IFERROR(__xludf.DUMMYFUNCTION("""COMPUTED_VALUE"""),"Austin, TX")</f>
        <v>Austin, TX</v>
      </c>
      <c r="H106" s="24" t="str">
        <f>IFERROR(__xludf.DUMMYFUNCTION("""COMPUTED_VALUE"""),"RSM")</f>
        <v>RSM</v>
      </c>
      <c r="I106" s="24" t="str">
        <f>IFERROR(__xludf.DUMMYFUNCTION("""COMPUTED_VALUE"""),"Supervisor")</f>
        <v>Supervisor</v>
      </c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5" t="str">
        <f>IFERROR(__xludf.DUMMYFUNCTION("""COMPUTED_VALUE"""),"Nick")</f>
        <v>Nick</v>
      </c>
      <c r="B107" s="5" t="str">
        <f>IFERROR(__xludf.DUMMYFUNCTION("""COMPUTED_VALUE"""),"Stamatis")</f>
        <v>Stamatis</v>
      </c>
      <c r="C107" s="43" t="str">
        <f>IFERROR(__xludf.DUMMYFUNCTION("""COMPUTED_VALUE"""),"(440) 785-2981")</f>
        <v>(440) 785-2981</v>
      </c>
      <c r="D107" s="5" t="str">
        <f>IFERROR(__xludf.DUMMYFUNCTION("""COMPUTED_VALUE"""),"nick.j.stamatis@gmail.com")</f>
        <v>nick.j.stamatis@gmail.com</v>
      </c>
      <c r="E107" s="5">
        <f>IFERROR(__xludf.DUMMYFUNCTION("""COMPUTED_VALUE"""),2018.0)</f>
        <v>2018</v>
      </c>
      <c r="F107" s="11" t="str">
        <f>IFERROR(__xludf.DUMMYFUNCTION("""COMPUTED_VALUE"""),"Zeta")</f>
        <v>Zeta</v>
      </c>
      <c r="G107" s="5" t="str">
        <f>IFERROR(__xludf.DUMMYFUNCTION("""COMPUTED_VALUE"""),"Avon Lake, OH")</f>
        <v>Avon Lake, OH</v>
      </c>
      <c r="H107" s="5" t="str">
        <f>IFERROR(__xludf.DUMMYFUNCTION("""COMPUTED_VALUE"""),"Avient Corporation")</f>
        <v>Avient Corporation</v>
      </c>
      <c r="I107" s="5" t="str">
        <f>IFERROR(__xludf.DUMMYFUNCTION("""COMPUTED_VALUE"""),"Business Finance Manager")</f>
        <v>Business Finance Manager</v>
      </c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24" t="str">
        <f>IFERROR(__xludf.DUMMYFUNCTION("""COMPUTED_VALUE"""),"Mia")</f>
        <v>Mia</v>
      </c>
      <c r="B108" s="24" t="str">
        <f>IFERROR(__xludf.DUMMYFUNCTION("""COMPUTED_VALUE"""),"Yu")</f>
        <v>Yu</v>
      </c>
      <c r="C108" s="43" t="str">
        <f>IFERROR(__xludf.DUMMYFUNCTION("""COMPUTED_VALUE"""),"(614) 256-5189")</f>
        <v>(614) 256-5189</v>
      </c>
      <c r="D108" s="25" t="str">
        <f>IFERROR(__xludf.DUMMYFUNCTION("""COMPUTED_VALUE"""),"yu.1371@buckeyemail.osu.edu")</f>
        <v>yu.1371@buckeyemail.osu.edu</v>
      </c>
      <c r="E108" s="24">
        <f>IFERROR(__xludf.DUMMYFUNCTION("""COMPUTED_VALUE"""),2018.0)</f>
        <v>2018</v>
      </c>
      <c r="F108" s="5" t="str">
        <f>IFERROR(__xludf.DUMMYFUNCTION("""COMPUTED_VALUE"""),"Theta")</f>
        <v>Theta</v>
      </c>
      <c r="G108" s="24" t="str">
        <f>IFERROR(__xludf.DUMMYFUNCTION("""COMPUTED_VALUE"""),"Beijing, China")</f>
        <v>Beijing, China</v>
      </c>
      <c r="H108" s="24" t="str">
        <f>IFERROR(__xludf.DUMMYFUNCTION("""COMPUTED_VALUE"""),"PwC")</f>
        <v>PwC</v>
      </c>
      <c r="I108" s="24" t="str">
        <f>IFERROR(__xludf.DUMMYFUNCTION("""COMPUTED_VALUE"""),"Assurance Associate")</f>
        <v>Assurance Associate</v>
      </c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5" t="str">
        <f>IFERROR(__xludf.DUMMYFUNCTION("""COMPUTED_VALUE"""),"Jaime")</f>
        <v>Jaime</v>
      </c>
      <c r="B109" s="5" t="str">
        <f>IFERROR(__xludf.DUMMYFUNCTION("""COMPUTED_VALUE"""),"Goode")</f>
        <v>Goode</v>
      </c>
      <c r="C109" s="43" t="str">
        <f>IFERROR(__xludf.DUMMYFUNCTION("""COMPUTED_VALUE"""),"(516) 592-1105")</f>
        <v>(516) 592-1105</v>
      </c>
      <c r="D109" s="5" t="str">
        <f>IFERROR(__xludf.DUMMYFUNCTION("""COMPUTED_VALUE"""),"jaime.goode@yahoo.com")</f>
        <v>jaime.goode@yahoo.com</v>
      </c>
      <c r="E109" s="5">
        <f>IFERROR(__xludf.DUMMYFUNCTION("""COMPUTED_VALUE"""),2018.0)</f>
        <v>2018</v>
      </c>
      <c r="F109" s="7" t="str">
        <f>IFERROR(__xludf.DUMMYFUNCTION("""COMPUTED_VALUE"""),"Zeta")</f>
        <v>Zeta</v>
      </c>
      <c r="G109" s="5" t="str">
        <f>IFERROR(__xludf.DUMMYFUNCTION("""COMPUTED_VALUE"""),"Brooklyn, NY")</f>
        <v>Brooklyn, NY</v>
      </c>
      <c r="H109" s="5" t="str">
        <f>IFERROR(__xludf.DUMMYFUNCTION("""COMPUTED_VALUE"""),"StreetEasy")</f>
        <v>StreetEasy</v>
      </c>
      <c r="I109" s="5" t="str">
        <f>IFERROR(__xludf.DUMMYFUNCTION("""COMPUTED_VALUE"""),"Quant UX Researcher")</f>
        <v>Quant UX Researcher</v>
      </c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5" t="str">
        <f>IFERROR(__xludf.DUMMYFUNCTION("""COMPUTED_VALUE"""),"Michelle")</f>
        <v>Michelle</v>
      </c>
      <c r="B110" s="5" t="str">
        <f>IFERROR(__xludf.DUMMYFUNCTION("""COMPUTED_VALUE"""),"Lang")</f>
        <v>Lang</v>
      </c>
      <c r="C110" s="43" t="str">
        <f>IFERROR(__xludf.DUMMYFUNCTION("""COMPUTED_VALUE"""),"(630) 362-5350")</f>
        <v>(630) 362-5350</v>
      </c>
      <c r="D110" s="5" t="str">
        <f>IFERROR(__xludf.DUMMYFUNCTION("""COMPUTED_VALUE"""),"Michklang91195@gmail.com")</f>
        <v>Michklang91195@gmail.com</v>
      </c>
      <c r="E110" s="5">
        <f>IFERROR(__xludf.DUMMYFUNCTION("""COMPUTED_VALUE"""),2018.0)</f>
        <v>2018</v>
      </c>
      <c r="F110" s="11" t="str">
        <f>IFERROR(__xludf.DUMMYFUNCTION("""COMPUTED_VALUE"""),"Eta")</f>
        <v>Eta</v>
      </c>
      <c r="G110" s="5" t="str">
        <f>IFERROR(__xludf.DUMMYFUNCTION("""COMPUTED_VALUE"""),"Chicago")</f>
        <v>Chicago</v>
      </c>
      <c r="H110" s="5" t="str">
        <f>IFERROR(__xludf.DUMMYFUNCTION("""COMPUTED_VALUE"""),"Pinstripes")</f>
        <v>Pinstripes</v>
      </c>
      <c r="I110" s="5" t="str">
        <f>IFERROR(__xludf.DUMMYFUNCTION("""COMPUTED_VALUE"""),"Senior Accountant")</f>
        <v>Senior Accountant</v>
      </c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24" t="str">
        <f>IFERROR(__xludf.DUMMYFUNCTION("""COMPUTED_VALUE"""),"Jehan")</f>
        <v>Jehan</v>
      </c>
      <c r="B111" s="24" t="str">
        <f>IFERROR(__xludf.DUMMYFUNCTION("""COMPUTED_VALUE"""),"Madan")</f>
        <v>Madan</v>
      </c>
      <c r="C111" s="43" t="str">
        <f>IFERROR(__xludf.DUMMYFUNCTION("""COMPUTED_VALUE"""),"(814) 397-3835")</f>
        <v>(814) 397-3835</v>
      </c>
      <c r="D111" s="25" t="str">
        <f>IFERROR(__xludf.DUMMYFUNCTION("""COMPUTED_VALUE"""),"Madanjeh@gmail.com")</f>
        <v>Madanjeh@gmail.com</v>
      </c>
      <c r="E111" s="24">
        <f>IFERROR(__xludf.DUMMYFUNCTION("""COMPUTED_VALUE"""),2018.0)</f>
        <v>2018</v>
      </c>
      <c r="F111" s="5" t="str">
        <f>IFERROR(__xludf.DUMMYFUNCTION("""COMPUTED_VALUE"""),"Zeta")</f>
        <v>Zeta</v>
      </c>
      <c r="G111" s="24" t="str">
        <f>IFERROR(__xludf.DUMMYFUNCTION("""COMPUTED_VALUE"""),"Chicago")</f>
        <v>Chicago</v>
      </c>
      <c r="H111" s="24" t="str">
        <f>IFERROR(__xludf.DUMMYFUNCTION("""COMPUTED_VALUE"""),"Deloitte")</f>
        <v>Deloitte</v>
      </c>
      <c r="I111" s="24" t="str">
        <f>IFERROR(__xludf.DUMMYFUNCTION("""COMPUTED_VALUE"""),"Audit &amp; Assurance Manage")</f>
        <v>Audit &amp; Assurance Manage</v>
      </c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24" t="str">
        <f>IFERROR(__xludf.DUMMYFUNCTION("""COMPUTED_VALUE"""),"Ann")</f>
        <v>Ann</v>
      </c>
      <c r="B112" s="24" t="str">
        <f>IFERROR(__xludf.DUMMYFUNCTION("""COMPUTED_VALUE"""),"Hopkins")</f>
        <v>Hopkins</v>
      </c>
      <c r="C112" s="43" t="str">
        <f>IFERROR(__xludf.DUMMYFUNCTION("""COMPUTED_VALUE"""),"(440) 409-8841")</f>
        <v>(440) 409-8841</v>
      </c>
      <c r="D112" s="25" t="str">
        <f>IFERROR(__xludf.DUMMYFUNCTION("""COMPUTED_VALUE"""),"ann.hopkins8@gmail.com")</f>
        <v>ann.hopkins8@gmail.com</v>
      </c>
      <c r="E112" s="24">
        <f>IFERROR(__xludf.DUMMYFUNCTION("""COMPUTED_VALUE"""),2018.0)</f>
        <v>2018</v>
      </c>
      <c r="F112" s="5" t="str">
        <f>IFERROR(__xludf.DUMMYFUNCTION("""COMPUTED_VALUE"""),"Epsilon")</f>
        <v>Epsilon</v>
      </c>
      <c r="G112" s="24" t="str">
        <f>IFERROR(__xludf.DUMMYFUNCTION("""COMPUTED_VALUE"""),"Cleveland")</f>
        <v>Cleveland</v>
      </c>
      <c r="H112" s="24" t="str">
        <f>IFERROR(__xludf.DUMMYFUNCTION("""COMPUTED_VALUE"""),"Air Products")</f>
        <v>Air Products</v>
      </c>
      <c r="I112" s="24" t="str">
        <f>IFERROR(__xludf.DUMMYFUNCTION("""COMPUTED_VALUE""")," Microbulk Senior Sales Specialist")</f>
        <v> Microbulk Senior Sales Specialist</v>
      </c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5" t="str">
        <f>IFERROR(__xludf.DUMMYFUNCTION("""COMPUTED_VALUE"""),"Shannon")</f>
        <v>Shannon</v>
      </c>
      <c r="B113" s="5" t="str">
        <f>IFERROR(__xludf.DUMMYFUNCTION("""COMPUTED_VALUE"""),"Hollis")</f>
        <v>Hollis</v>
      </c>
      <c r="C113" s="43" t="str">
        <f>IFERROR(__xludf.DUMMYFUNCTION("""COMPUTED_VALUE"""),"(440) 610-0575")</f>
        <v>(440) 610-0575</v>
      </c>
      <c r="D113" s="5" t="str">
        <f>IFERROR(__xludf.DUMMYFUNCTION("""COMPUTED_VALUE"""),"sphol@icloud.com")</f>
        <v>sphol@icloud.com</v>
      </c>
      <c r="E113" s="5">
        <f>IFERROR(__xludf.DUMMYFUNCTION("""COMPUTED_VALUE"""),2018.0)</f>
        <v>2018</v>
      </c>
      <c r="F113" s="7" t="str">
        <f>IFERROR(__xludf.DUMMYFUNCTION("""COMPUTED_VALUE"""),"Gamma")</f>
        <v>Gamma</v>
      </c>
      <c r="G113" s="5" t="str">
        <f>IFERROR(__xludf.DUMMYFUNCTION("""COMPUTED_VALUE"""),"Columbus")</f>
        <v>Columbus</v>
      </c>
      <c r="H113" s="5" t="str">
        <f>IFERROR(__xludf.DUMMYFUNCTION("""COMPUTED_VALUE"""),"Revolut")</f>
        <v>Revolut</v>
      </c>
      <c r="I113" s="5" t="str">
        <f>IFERROR(__xludf.DUMMYFUNCTION("""COMPUTED_VALUE"""),"Account Executive")</f>
        <v>Account Executive</v>
      </c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5" t="str">
        <f>IFERROR(__xludf.DUMMYFUNCTION("""COMPUTED_VALUE"""),"Heather")</f>
        <v>Heather</v>
      </c>
      <c r="B114" s="5" t="str">
        <f>IFERROR(__xludf.DUMMYFUNCTION("""COMPUTED_VALUE"""),"Tucker")</f>
        <v>Tucker</v>
      </c>
      <c r="C114" s="43" t="str">
        <f>IFERROR(__xludf.DUMMYFUNCTION("""COMPUTED_VALUE"""),"(440) 728-1814")</f>
        <v>(440) 728-1814</v>
      </c>
      <c r="D114" s="5" t="str">
        <f>IFERROR(__xludf.DUMMYFUNCTION("""COMPUTED_VALUE"""),"heathertucker1@live.com")</f>
        <v>heathertucker1@live.com</v>
      </c>
      <c r="E114" s="5">
        <f>IFERROR(__xludf.DUMMYFUNCTION("""COMPUTED_VALUE"""),2018.0)</f>
        <v>2018</v>
      </c>
      <c r="F114" s="7" t="str">
        <f>IFERROR(__xludf.DUMMYFUNCTION("""COMPUTED_VALUE"""),"Zeta")</f>
        <v>Zeta</v>
      </c>
      <c r="G114" s="5" t="str">
        <f>IFERROR(__xludf.DUMMYFUNCTION("""COMPUTED_VALUE"""),"Columbus")</f>
        <v>Columbus</v>
      </c>
      <c r="H114" s="5" t="str">
        <f>IFERROR(__xludf.DUMMYFUNCTION("""COMPUTED_VALUE"""),"Bath &amp; Body Works")</f>
        <v>Bath &amp; Body Works</v>
      </c>
      <c r="I114" s="5" t="str">
        <f>IFERROR(__xludf.DUMMYFUNCTION("""COMPUTED_VALUE"""),"Operations Manager")</f>
        <v>Operations Manager</v>
      </c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5" t="str">
        <f>IFERROR(__xludf.DUMMYFUNCTION("""COMPUTED_VALUE"""),"Erik")</f>
        <v>Erik</v>
      </c>
      <c r="B115" s="5" t="str">
        <f>IFERROR(__xludf.DUMMYFUNCTION("""COMPUTED_VALUE"""),"Schommer")</f>
        <v>Schommer</v>
      </c>
      <c r="C115" s="43" t="str">
        <f>IFERROR(__xludf.DUMMYFUNCTION("""COMPUTED_VALUE"""),"(570) 504-4164")</f>
        <v>(570) 504-4164</v>
      </c>
      <c r="D115" s="5" t="str">
        <f>IFERROR(__xludf.DUMMYFUNCTION("""COMPUTED_VALUE"""),"erik.schommer@zoom.us")</f>
        <v>erik.schommer@zoom.us</v>
      </c>
      <c r="E115" s="5">
        <f>IFERROR(__xludf.DUMMYFUNCTION("""COMPUTED_VALUE"""),2018.0)</f>
        <v>2018</v>
      </c>
      <c r="F115" s="7" t="str">
        <f>IFERROR(__xludf.DUMMYFUNCTION("""COMPUTED_VALUE"""),"Delta")</f>
        <v>Delta</v>
      </c>
      <c r="G115" s="5" t="str">
        <f>IFERROR(__xludf.DUMMYFUNCTION("""COMPUTED_VALUE"""),"Denver")</f>
        <v>Denver</v>
      </c>
      <c r="H115" s="5" t="str">
        <f>IFERROR(__xludf.DUMMYFUNCTION("""COMPUTED_VALUE"""),"Zoom")</f>
        <v>Zoom</v>
      </c>
      <c r="I115" s="5" t="str">
        <f>IFERROR(__xludf.DUMMYFUNCTION("""COMPUTED_VALUE"""),"Customer Success Manager")</f>
        <v>Customer Success Manager</v>
      </c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5" t="str">
        <f>IFERROR(__xludf.DUMMYFUNCTION("""COMPUTED_VALUE"""),"Davis")</f>
        <v>Davis</v>
      </c>
      <c r="B116" s="5" t="str">
        <f>IFERROR(__xludf.DUMMYFUNCTION("""COMPUTED_VALUE"""),"Day")</f>
        <v>Day</v>
      </c>
      <c r="C116" s="43" t="str">
        <f>IFERROR(__xludf.DUMMYFUNCTION("""COMPUTED_VALUE"""),"(734) 476-7863")</f>
        <v>(734) 476-7863</v>
      </c>
      <c r="D116" s="5" t="str">
        <f>IFERROR(__xludf.DUMMYFUNCTION("""COMPUTED_VALUE"""),"dday4226@gmail.com")</f>
        <v>dday4226@gmail.com</v>
      </c>
      <c r="E116" s="5">
        <f>IFERROR(__xludf.DUMMYFUNCTION("""COMPUTED_VALUE"""),2018.0)</f>
        <v>2018</v>
      </c>
      <c r="F116" s="7" t="str">
        <f>IFERROR(__xludf.DUMMYFUNCTION("""COMPUTED_VALUE"""),"Gamma")</f>
        <v>Gamma</v>
      </c>
      <c r="G116" s="5" t="str">
        <f>IFERROR(__xludf.DUMMYFUNCTION("""COMPUTED_VALUE"""),"Grand Rapids, MI")</f>
        <v>Grand Rapids, MI</v>
      </c>
      <c r="H116" s="5" t="str">
        <f>IFERROR(__xludf.DUMMYFUNCTION("""COMPUTED_VALUE"""),"Meijer")</f>
        <v>Meijer</v>
      </c>
      <c r="I116" s="5" t="str">
        <f>IFERROR(__xludf.DUMMYFUNCTION("""COMPUTED_VALUE"""),"Merchandise Business Analyst")</f>
        <v>Merchandise Business Analyst</v>
      </c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28" t="str">
        <f>IFERROR(__xludf.DUMMYFUNCTION("""COMPUTED_VALUE"""),"Leigh Anne (Lou)")</f>
        <v>Leigh Anne (Lou)</v>
      </c>
      <c r="B117" s="24" t="str">
        <f>IFERROR(__xludf.DUMMYFUNCTION("""COMPUTED_VALUE"""),"Strecker")</f>
        <v>Strecker</v>
      </c>
      <c r="C117" s="43" t="str">
        <f>IFERROR(__xludf.DUMMYFUNCTION("""COMPUTED_VALUE"""),"(913) 299-7068")</f>
        <v>(913) 299-7068</v>
      </c>
      <c r="D117" s="32" t="str">
        <f>IFERROR(__xludf.DUMMYFUNCTION("""COMPUTED_VALUE"""),"leighannestrecker@gmail.com")</f>
        <v>leighannestrecker@gmail.com</v>
      </c>
      <c r="E117" s="24">
        <f>IFERROR(__xludf.DUMMYFUNCTION("""COMPUTED_VALUE"""),2018.0)</f>
        <v>2018</v>
      </c>
      <c r="F117" s="24" t="str">
        <f>IFERROR(__xludf.DUMMYFUNCTION("""COMPUTED_VALUE"""),"Epsilon")</f>
        <v>Epsilon</v>
      </c>
      <c r="G117" s="24" t="str">
        <f>IFERROR(__xludf.DUMMYFUNCTION("""COMPUTED_VALUE"""),"Kansas City")</f>
        <v>Kansas City</v>
      </c>
      <c r="H117" s="24" t="str">
        <f>IFERROR(__xludf.DUMMYFUNCTION("""COMPUTED_VALUE"""),"Morton Salt")</f>
        <v>Morton Salt</v>
      </c>
      <c r="I117" s="24" t="str">
        <f>IFERROR(__xludf.DUMMYFUNCTION("""COMPUTED_VALUE"""),"Senior Associate Brand Manager")</f>
        <v>Senior Associate Brand Manager</v>
      </c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5" t="str">
        <f>IFERROR(__xludf.DUMMYFUNCTION("""COMPUTED_VALUE"""),"Gavin")</f>
        <v>Gavin</v>
      </c>
      <c r="B118" s="5" t="str">
        <f>IFERROR(__xludf.DUMMYFUNCTION("""COMPUTED_VALUE"""),"Bridegum")</f>
        <v>Bridegum</v>
      </c>
      <c r="C118" s="43" t="str">
        <f>IFERROR(__xludf.DUMMYFUNCTION("""COMPUTED_VALUE"""),"(440) 665-7233")</f>
        <v>(440) 665-7233</v>
      </c>
      <c r="D118" s="5" t="str">
        <f>IFERROR(__xludf.DUMMYFUNCTION("""COMPUTED_VALUE"""),"gbridegum@gmail.com")</f>
        <v>gbridegum@gmail.com</v>
      </c>
      <c r="E118" s="5">
        <f>IFERROR(__xludf.DUMMYFUNCTION("""COMPUTED_VALUE"""),2018.0)</f>
        <v>2018</v>
      </c>
      <c r="F118" s="7" t="str">
        <f>IFERROR(__xludf.DUMMYFUNCTION("""COMPUTED_VALUE"""),"Zeta")</f>
        <v>Zeta</v>
      </c>
      <c r="G118" s="5" t="str">
        <f>IFERROR(__xludf.DUMMYFUNCTION("""COMPUTED_VALUE"""),"Cleveland")</f>
        <v>Cleveland</v>
      </c>
      <c r="H118" s="5" t="str">
        <f>IFERROR(__xludf.DUMMYFUNCTION("""COMPUTED_VALUE"""),"Amazon")</f>
        <v>Amazon</v>
      </c>
      <c r="I118" s="5" t="str">
        <f>IFERROR(__xludf.DUMMYFUNCTION("""COMPUTED_VALUE"""),"Delivery Station Manager")</f>
        <v>Delivery Station Manager</v>
      </c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5" t="str">
        <f>IFERROR(__xludf.DUMMYFUNCTION("""COMPUTED_VALUE"""),"Ashley")</f>
        <v>Ashley</v>
      </c>
      <c r="B119" s="5" t="str">
        <f>IFERROR(__xludf.DUMMYFUNCTION("""COMPUTED_VALUE"""),"Bryk")</f>
        <v>Bryk</v>
      </c>
      <c r="C119" s="43" t="str">
        <f>IFERROR(__xludf.DUMMYFUNCTION("""COMPUTED_VALUE"""),"(440) 799-3388")</f>
        <v>(440) 799-3388</v>
      </c>
      <c r="D119" s="5" t="str">
        <f>IFERROR(__xludf.DUMMYFUNCTION("""COMPUTED_VALUE"""),"ashleybryk@gmail.com")</f>
        <v>ashleybryk@gmail.com</v>
      </c>
      <c r="E119" s="5">
        <f>IFERROR(__xludf.DUMMYFUNCTION("""COMPUTED_VALUE"""),2018.0)</f>
        <v>2018</v>
      </c>
      <c r="F119" s="7" t="str">
        <f>IFERROR(__xludf.DUMMYFUNCTION("""COMPUTED_VALUE"""),"Epsilon")</f>
        <v>Epsilon</v>
      </c>
      <c r="G119" s="5" t="str">
        <f>IFERROR(__xludf.DUMMYFUNCTION("""COMPUTED_VALUE"""),"New York")</f>
        <v>New York</v>
      </c>
      <c r="H119" s="5" t="str">
        <f>IFERROR(__xludf.DUMMYFUNCTION("""COMPUTED_VALUE""")," Formerly Club Monaco")</f>
        <v> Formerly Club Monaco</v>
      </c>
      <c r="I119" s="5" t="str">
        <f>IFERROR(__xludf.DUMMYFUNCTION("""COMPUTED_VALUE"""),"Project Manager")</f>
        <v>Project Manager</v>
      </c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5" t="str">
        <f>IFERROR(__xludf.DUMMYFUNCTION("""COMPUTED_VALUE"""),"Nick")</f>
        <v>Nick</v>
      </c>
      <c r="B120" s="5" t="str">
        <f>IFERROR(__xludf.DUMMYFUNCTION("""COMPUTED_VALUE"""),"Viola")</f>
        <v>Viola</v>
      </c>
      <c r="C120" s="43" t="str">
        <f>IFERROR(__xludf.DUMMYFUNCTION("""COMPUTED_VALUE"""),"(914) 346-7833")</f>
        <v>(914) 346-7833</v>
      </c>
      <c r="D120" s="5" t="str">
        <f>IFERROR(__xludf.DUMMYFUNCTION("""COMPUTED_VALUE"""),"Naviola43@gmail.com")</f>
        <v>Naviola43@gmail.com</v>
      </c>
      <c r="E120" s="5">
        <f>IFERROR(__xludf.DUMMYFUNCTION("""COMPUTED_VALUE"""),2018.0)</f>
        <v>2018</v>
      </c>
      <c r="F120" s="7" t="str">
        <f>IFERROR(__xludf.DUMMYFUNCTION("""COMPUTED_VALUE"""),"Epsilon")</f>
        <v>Epsilon</v>
      </c>
      <c r="G120" s="5" t="str">
        <f>IFERROR(__xludf.DUMMYFUNCTION("""COMPUTED_VALUE"""),"New York")</f>
        <v>New York</v>
      </c>
      <c r="H120" s="5" t="str">
        <f>IFERROR(__xludf.DUMMYFUNCTION("""COMPUTED_VALUE"""),"Loeb Partners Realty")</f>
        <v>Loeb Partners Realty</v>
      </c>
      <c r="I120" s="5" t="str">
        <f>IFERROR(__xludf.DUMMYFUNCTION("""COMPUTED_VALUE"""),"Property Accountant")</f>
        <v>Property Accountant</v>
      </c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5" t="str">
        <f>IFERROR(__xludf.DUMMYFUNCTION("""COMPUTED_VALUE"""),"Tim")</f>
        <v>Tim</v>
      </c>
      <c r="B121" s="5" t="str">
        <f>IFERROR(__xludf.DUMMYFUNCTION("""COMPUTED_VALUE"""),"Kelly")</f>
        <v>Kelly</v>
      </c>
      <c r="C121" s="43" t="str">
        <f>IFERROR(__xludf.DUMMYFUNCTION("""COMPUTED_VALUE"""),"(631) 972-7928")</f>
        <v>(631) 972-7928</v>
      </c>
      <c r="D121" s="5" t="str">
        <f>IFERROR(__xludf.DUMMYFUNCTION("""COMPUTED_VALUE"""),"Tfkelly96@gmail.com")</f>
        <v>Tfkelly96@gmail.com</v>
      </c>
      <c r="E121" s="5">
        <f>IFERROR(__xludf.DUMMYFUNCTION("""COMPUTED_VALUE"""),2018.0)</f>
        <v>2018</v>
      </c>
      <c r="F121" s="7" t="str">
        <f>IFERROR(__xludf.DUMMYFUNCTION("""COMPUTED_VALUE"""),"Epsilon")</f>
        <v>Epsilon</v>
      </c>
      <c r="G121" s="5" t="str">
        <f>IFERROR(__xludf.DUMMYFUNCTION("""COMPUTED_VALUE"""),"New York, NY")</f>
        <v>New York, NY</v>
      </c>
      <c r="H121" s="5" t="str">
        <f>IFERROR(__xludf.DUMMYFUNCTION("""COMPUTED_VALUE"""),"Brookfield Asset Management")</f>
        <v>Brookfield Asset Management</v>
      </c>
      <c r="I121" s="5" t="str">
        <f>IFERROR(__xludf.DUMMYFUNCTION("""COMPUTED_VALUE"""),"Manager")</f>
        <v>Manager</v>
      </c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5" t="str">
        <f>IFERROR(__xludf.DUMMYFUNCTION("""COMPUTED_VALUE"""),"Garth")</f>
        <v>Garth</v>
      </c>
      <c r="B122" s="5" t="str">
        <f>IFERROR(__xludf.DUMMYFUNCTION("""COMPUTED_VALUE"""),"Bennett")</f>
        <v>Bennett</v>
      </c>
      <c r="C122" s="43" t="str">
        <f>IFERROR(__xludf.DUMMYFUNCTION("""COMPUTED_VALUE"""),"(216) 233-7801")</f>
        <v>(216) 233-7801</v>
      </c>
      <c r="D122" s="5" t="str">
        <f>IFERROR(__xludf.DUMMYFUNCTION("""COMPUTED_VALUE"""),"garthbennett96@gmail.com")</f>
        <v>garthbennett96@gmail.com</v>
      </c>
      <c r="E122" s="5">
        <f>IFERROR(__xludf.DUMMYFUNCTION("""COMPUTED_VALUE"""),2018.0)</f>
        <v>2018</v>
      </c>
      <c r="F122" s="7" t="str">
        <f>IFERROR(__xludf.DUMMYFUNCTION("""COMPUTED_VALUE"""),"Epsilon")</f>
        <v>Epsilon</v>
      </c>
      <c r="G122" s="5" t="str">
        <f>IFERROR(__xludf.DUMMYFUNCTION("""COMPUTED_VALUE"""),"San Francisco")</f>
        <v>San Francisco</v>
      </c>
      <c r="H122" s="5" t="str">
        <f>IFERROR(__xludf.DUMMYFUNCTION("""COMPUTED_VALUE"""),"Apple")</f>
        <v>Apple</v>
      </c>
      <c r="I122" s="5" t="str">
        <f>IFERROR(__xludf.DUMMYFUNCTION("""COMPUTED_VALUE"""),"Lead Financial Analyst")</f>
        <v>Lead Financial Analyst</v>
      </c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24" t="str">
        <f>IFERROR(__xludf.DUMMYFUNCTION("""COMPUTED_VALUE"""),"Jerry")</f>
        <v>Jerry</v>
      </c>
      <c r="B123" s="24" t="str">
        <f>IFERROR(__xludf.DUMMYFUNCTION("""COMPUTED_VALUE"""),"Swanson")</f>
        <v>Swanson</v>
      </c>
      <c r="C123" s="43" t="str">
        <f>IFERROR(__xludf.DUMMYFUNCTION("""COMPUTED_VALUE"""),"(847) 702-0855")</f>
        <v>(847) 702-0855</v>
      </c>
      <c r="D123" s="25" t="str">
        <f>IFERROR(__xludf.DUMMYFUNCTION("""COMPUTED_VALUE"""),"swansong0930@gmail.com")</f>
        <v>swansong0930@gmail.com</v>
      </c>
      <c r="E123" s="24">
        <f>IFERROR(__xludf.DUMMYFUNCTION("""COMPUTED_VALUE"""),2018.0)</f>
        <v>2018</v>
      </c>
      <c r="F123" s="24" t="str">
        <f>IFERROR(__xludf.DUMMYFUNCTION("""COMPUTED_VALUE"""),"Zeta")</f>
        <v>Zeta</v>
      </c>
      <c r="G123" s="24" t="str">
        <f>IFERROR(__xludf.DUMMYFUNCTION("""COMPUTED_VALUE"""),"Washington DC")</f>
        <v>Washington DC</v>
      </c>
      <c r="H123" s="24" t="str">
        <f>IFERROR(__xludf.DUMMYFUNCTION("""COMPUTED_VALUE"""),"Freddie Mac")</f>
        <v>Freddie Mac</v>
      </c>
      <c r="I123" s="24" t="str">
        <f>IFERROR(__xludf.DUMMYFUNCTION("""COMPUTED_VALUE"""),"Affordable Lending Senior")</f>
        <v>Affordable Lending Senior</v>
      </c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5" t="str">
        <f>IFERROR(__xludf.DUMMYFUNCTION("""COMPUTED_VALUE"""),"Lisa")</f>
        <v>Lisa</v>
      </c>
      <c r="B124" s="5" t="str">
        <f>IFERROR(__xludf.DUMMYFUNCTION("""COMPUTED_VALUE"""),"Lee")</f>
        <v>Lee</v>
      </c>
      <c r="C124" s="43" t="str">
        <f>IFERROR(__xludf.DUMMYFUNCTION("""COMPUTED_VALUE"""),"(614) 285-1741")</f>
        <v>(614) 285-1741</v>
      </c>
      <c r="D124" s="5" t="str">
        <f>IFERROR(__xludf.DUMMYFUNCTION("""COMPUTED_VALUE"""),"lisa96lee@gmail.com")</f>
        <v>lisa96lee@gmail.com</v>
      </c>
      <c r="E124" s="5">
        <f>IFERROR(__xludf.DUMMYFUNCTION("""COMPUTED_VALUE"""),2018.0)</f>
        <v>2018</v>
      </c>
      <c r="F124" s="7" t="str">
        <f>IFERROR(__xludf.DUMMYFUNCTION("""COMPUTED_VALUE"""),"Zeta")</f>
        <v>Zeta</v>
      </c>
      <c r="G124" s="5" t="str">
        <f>IFERROR(__xludf.DUMMYFUNCTION("""COMPUTED_VALUE"""),"Atlanta, GA")</f>
        <v>Atlanta, GA</v>
      </c>
      <c r="H124" s="5" t="str">
        <f>IFERROR(__xludf.DUMMYFUNCTION("""COMPUTED_VALUE"""),"Home Depot")</f>
        <v>Home Depot</v>
      </c>
      <c r="I124" s="5" t="str">
        <f>IFERROR(__xludf.DUMMYFUNCTION("""COMPUTED_VALUE"""),"Sr. Delivery Specialist of Orchestration")</f>
        <v>Sr. Delivery Specialist of Orchestration</v>
      </c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5" t="str">
        <f>IFERROR(__xludf.DUMMYFUNCTION("""COMPUTED_VALUE"""),"Megan")</f>
        <v>Megan</v>
      </c>
      <c r="B125" s="5" t="str">
        <f>IFERROR(__xludf.DUMMYFUNCTION("""COMPUTED_VALUE"""),"Sonderman")</f>
        <v>Sonderman</v>
      </c>
      <c r="C125" s="43" t="str">
        <f>IFERROR(__xludf.DUMMYFUNCTION("""COMPUTED_VALUE"""),"(614) 648-1039")</f>
        <v>(614) 648-1039</v>
      </c>
      <c r="D125" s="5" t="str">
        <f>IFERROR(__xludf.DUMMYFUNCTION("""COMPUTED_VALUE"""),"megansonderman@gmail.com")</f>
        <v>megansonderman@gmail.com</v>
      </c>
      <c r="E125" s="5">
        <f>IFERROR(__xludf.DUMMYFUNCTION("""COMPUTED_VALUE"""),2018.0)</f>
        <v>2018</v>
      </c>
      <c r="F125" s="12" t="str">
        <f>IFERROR(__xludf.DUMMYFUNCTION("""COMPUTED_VALUE"""),"Zeta")</f>
        <v>Zeta</v>
      </c>
      <c r="G125" s="5"/>
      <c r="H125" s="5"/>
      <c r="I125" s="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5" t="str">
        <f>IFERROR(__xludf.DUMMYFUNCTION("""COMPUTED_VALUE"""),"Ben")</f>
        <v>Ben</v>
      </c>
      <c r="B126" s="5" t="str">
        <f>IFERROR(__xludf.DUMMYFUNCTION("""COMPUTED_VALUE"""),"York")</f>
        <v>York</v>
      </c>
      <c r="C126" s="43" t="str">
        <f>IFERROR(__xludf.DUMMYFUNCTION("""COMPUTED_VALUE"""),"(513) 340-1833")</f>
        <v>(513) 340-1833</v>
      </c>
      <c r="D126" s="5" t="str">
        <f>IFERROR(__xludf.DUMMYFUNCTION("""COMPUTED_VALUE"""),"bgyork1996@gmail.com")</f>
        <v>bgyork1996@gmail.com</v>
      </c>
      <c r="E126" s="5">
        <f>IFERROR(__xludf.DUMMYFUNCTION("""COMPUTED_VALUE"""),2019.0)</f>
        <v>2019</v>
      </c>
      <c r="F126" s="7" t="str">
        <f>IFERROR(__xludf.DUMMYFUNCTION("""COMPUTED_VALUE"""),"Eta")</f>
        <v>Eta</v>
      </c>
      <c r="G126" s="5" t="str">
        <f>IFERROR(__xludf.DUMMYFUNCTION("""COMPUTED_VALUE"""),"Beaverton, OR")</f>
        <v>Beaverton, OR</v>
      </c>
      <c r="H126" s="5" t="str">
        <f>IFERROR(__xludf.DUMMYFUNCTION("""COMPUTED_VALUE"""),"Nike")</f>
        <v>Nike</v>
      </c>
      <c r="I126" s="5" t="str">
        <f>IFERROR(__xludf.DUMMYFUNCTION("""COMPUTED_VALUE"""),"Social &amp; Community Impact Operations Analyst")</f>
        <v>Social &amp; Community Impact Operations Analyst</v>
      </c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5" t="str">
        <f>IFERROR(__xludf.DUMMYFUNCTION("""COMPUTED_VALUE"""),"Jessie")</f>
        <v>Jessie</v>
      </c>
      <c r="B127" s="5" t="str">
        <f>IFERROR(__xludf.DUMMYFUNCTION("""COMPUTED_VALUE"""),"Wang")</f>
        <v>Wang</v>
      </c>
      <c r="C127" s="43" t="str">
        <f>IFERROR(__xludf.DUMMYFUNCTION("""COMPUTED_VALUE"""),"(607) 738-1111")</f>
        <v>(607) 738-1111</v>
      </c>
      <c r="D127" s="5" t="str">
        <f>IFERROR(__xludf.DUMMYFUNCTION("""COMPUTED_VALUE"""),"jwang7835@gmail.com")</f>
        <v>jwang7835@gmail.com</v>
      </c>
      <c r="E127" s="5">
        <f>IFERROR(__xludf.DUMMYFUNCTION("""COMPUTED_VALUE"""),2019.0)</f>
        <v>2019</v>
      </c>
      <c r="F127" s="7" t="str">
        <f>IFERROR(__xludf.DUMMYFUNCTION("""COMPUTED_VALUE"""),"Iota")</f>
        <v>Iota</v>
      </c>
      <c r="G127" s="5" t="str">
        <f>IFERROR(__xludf.DUMMYFUNCTION("""COMPUTED_VALUE"""),"Brooklyn, NY")</f>
        <v>Brooklyn, NY</v>
      </c>
      <c r="H127" s="5" t="str">
        <f>IFERROR(__xludf.DUMMYFUNCTION("""COMPUTED_VALUE"""),"Coast")</f>
        <v>Coast</v>
      </c>
      <c r="I127" s="5" t="str">
        <f>IFERROR(__xludf.DUMMYFUNCTION("""COMPUTED_VALUE"""),"Product Marketing")</f>
        <v>Product Marketing</v>
      </c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24" t="str">
        <f>IFERROR(__xludf.DUMMYFUNCTION("""COMPUTED_VALUE"""),"Cailin")</f>
        <v>Cailin</v>
      </c>
      <c r="B128" s="24" t="str">
        <f>IFERROR(__xludf.DUMMYFUNCTION("""COMPUTED_VALUE"""),"Downie")</f>
        <v>Downie</v>
      </c>
      <c r="C128" s="43" t="str">
        <f>IFERROR(__xludf.DUMMYFUNCTION("""COMPUTED_VALUE"""),"(330) 774-8170")</f>
        <v>(330) 774-8170</v>
      </c>
      <c r="D128" s="25" t="str">
        <f>IFERROR(__xludf.DUMMYFUNCTION("""COMPUTED_VALUE"""),"Cedownie228@gmail.com")</f>
        <v>Cedownie228@gmail.com</v>
      </c>
      <c r="E128" s="24">
        <f>IFERROR(__xludf.DUMMYFUNCTION("""COMPUTED_VALUE"""),2019.0)</f>
        <v>2019</v>
      </c>
      <c r="F128" s="24" t="str">
        <f>IFERROR(__xludf.DUMMYFUNCTION("""COMPUTED_VALUE"""),"Eta")</f>
        <v>Eta</v>
      </c>
      <c r="G128" s="24" t="str">
        <f>IFERROR(__xludf.DUMMYFUNCTION("""COMPUTED_VALUE"""),"Charlotte, NC")</f>
        <v>Charlotte, NC</v>
      </c>
      <c r="H128" s="24" t="str">
        <f>IFERROR(__xludf.DUMMYFUNCTION("""COMPUTED_VALUE"""),"Compass Group")</f>
        <v>Compass Group</v>
      </c>
      <c r="I128" s="24" t="str">
        <f>IFERROR(__xludf.DUMMYFUNCTION("""COMPUTED_VALUE"""),"Manger, Quality and Controls")</f>
        <v>Manger, Quality and Controls</v>
      </c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5" t="str">
        <f>IFERROR(__xludf.DUMMYFUNCTION("""COMPUTED_VALUE"""),"Boston")</f>
        <v>Boston</v>
      </c>
      <c r="B129" s="5" t="str">
        <f>IFERROR(__xludf.DUMMYFUNCTION("""COMPUTED_VALUE"""),"Waltz")</f>
        <v>Waltz</v>
      </c>
      <c r="C129" s="43" t="str">
        <f>IFERROR(__xludf.DUMMYFUNCTION("""COMPUTED_VALUE"""),"(330) 987-3845")</f>
        <v>(330) 987-3845</v>
      </c>
      <c r="D129" s="5" t="str">
        <f>IFERROR(__xludf.DUMMYFUNCTION("""COMPUTED_VALUE"""),"Waltzb0@gmail.com")</f>
        <v>Waltzb0@gmail.com</v>
      </c>
      <c r="E129" s="5">
        <f>IFERROR(__xludf.DUMMYFUNCTION("""COMPUTED_VALUE"""),2019.0)</f>
        <v>2019</v>
      </c>
      <c r="F129" s="7" t="str">
        <f>IFERROR(__xludf.DUMMYFUNCTION("""COMPUTED_VALUE"""),"Eta")</f>
        <v>Eta</v>
      </c>
      <c r="G129" s="5" t="str">
        <f>IFERROR(__xludf.DUMMYFUNCTION("""COMPUTED_VALUE"""),"Charlotte, NC")</f>
        <v>Charlotte, NC</v>
      </c>
      <c r="H129" s="5" t="str">
        <f>IFERROR(__xludf.DUMMYFUNCTION("""COMPUTED_VALUE"""),"Honeywell")</f>
        <v>Honeywell</v>
      </c>
      <c r="I129" s="5" t="str">
        <f>IFERROR(__xludf.DUMMYFUNCTION("""COMPUTED_VALUE"""),"Sr. Finance Manager - PPE")</f>
        <v>Sr. Finance Manager - PPE</v>
      </c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5" t="str">
        <f>IFERROR(__xludf.DUMMYFUNCTION("""COMPUTED_VALUE"""),"Gloria")</f>
        <v>Gloria</v>
      </c>
      <c r="B130" s="5" t="str">
        <f>IFERROR(__xludf.DUMMYFUNCTION("""COMPUTED_VALUE"""),"Hu")</f>
        <v>Hu</v>
      </c>
      <c r="C130" s="43" t="str">
        <f>IFERROR(__xludf.DUMMYFUNCTION("""COMPUTED_VALUE"""),"(513) 846-6056")</f>
        <v>(513) 846-6056</v>
      </c>
      <c r="D130" s="5" t="str">
        <f>IFERROR(__xludf.DUMMYFUNCTION("""COMPUTED_VALUE"""),"gloriahu1174@gmail.com")</f>
        <v>gloriahu1174@gmail.com</v>
      </c>
      <c r="E130" s="5">
        <f>IFERROR(__xludf.DUMMYFUNCTION("""COMPUTED_VALUE"""),2019.0)</f>
        <v>2019</v>
      </c>
      <c r="F130" s="7" t="str">
        <f>IFERROR(__xludf.DUMMYFUNCTION("""COMPUTED_VALUE"""),"Zeta")</f>
        <v>Zeta</v>
      </c>
      <c r="G130" s="5" t="str">
        <f>IFERROR(__xludf.DUMMYFUNCTION("""COMPUTED_VALUE"""),"Chicago")</f>
        <v>Chicago</v>
      </c>
      <c r="H130" s="5" t="str">
        <f>IFERROR(__xludf.DUMMYFUNCTION("""COMPUTED_VALUE"""),"Branch")</f>
        <v>Branch</v>
      </c>
      <c r="I130" s="5" t="str">
        <f>IFERROR(__xludf.DUMMYFUNCTION("""COMPUTED_VALUE"""),"Associate actuary")</f>
        <v>Associate actuary</v>
      </c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24" t="str">
        <f>IFERROR(__xludf.DUMMYFUNCTION("""COMPUTED_VALUE"""),"Carly")</f>
        <v>Carly</v>
      </c>
      <c r="B131" s="24" t="str">
        <f>IFERROR(__xludf.DUMMYFUNCTION("""COMPUTED_VALUE"""),"Smith")</f>
        <v>Smith</v>
      </c>
      <c r="C131" s="43" t="str">
        <f>IFERROR(__xludf.DUMMYFUNCTION("""COMPUTED_VALUE"""),"(815) 566-6262")</f>
        <v>(815) 566-6262</v>
      </c>
      <c r="D131" s="25" t="str">
        <f>IFERROR(__xludf.DUMMYFUNCTION("""COMPUTED_VALUE"""),"smith.10666@osu.edu")</f>
        <v>smith.10666@osu.edu</v>
      </c>
      <c r="E131" s="24">
        <f>IFERROR(__xludf.DUMMYFUNCTION("""COMPUTED_VALUE"""),2019.0)</f>
        <v>2019</v>
      </c>
      <c r="F131" s="24" t="str">
        <f>IFERROR(__xludf.DUMMYFUNCTION("""COMPUTED_VALUE"""),"Eta")</f>
        <v>Eta</v>
      </c>
      <c r="G131" s="24" t="str">
        <f>IFERROR(__xludf.DUMMYFUNCTION("""COMPUTED_VALUE"""),"Chicago")</f>
        <v>Chicago</v>
      </c>
      <c r="H131" s="24" t="str">
        <f>IFERROR(__xludf.DUMMYFUNCTION("""COMPUTED_VALUE"""),"PwC")</f>
        <v>PwC</v>
      </c>
      <c r="I131" s="24" t="str">
        <f>IFERROR(__xludf.DUMMYFUNCTION("""COMPUTED_VALUE"""),"Cyber, Risk &amp; Regulatory Manager")</f>
        <v>Cyber, Risk &amp; Regulatory Manager</v>
      </c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5" t="str">
        <f>IFERROR(__xludf.DUMMYFUNCTION("""COMPUTED_VALUE"""),"Jenny")</f>
        <v>Jenny</v>
      </c>
      <c r="B132" s="5" t="str">
        <f>IFERROR(__xludf.DUMMYFUNCTION("""COMPUTED_VALUE"""),"Zheng")</f>
        <v>Zheng</v>
      </c>
      <c r="C132" s="43" t="str">
        <f>IFERROR(__xludf.DUMMYFUNCTION("""COMPUTED_VALUE"""),"(917) 655-0606")</f>
        <v>(917) 655-0606</v>
      </c>
      <c r="D132" s="5" t="str">
        <f>IFERROR(__xludf.DUMMYFUNCTION("""COMPUTED_VALUE"""),"jennyzheng.15@gmail.com")</f>
        <v>jennyzheng.15@gmail.com</v>
      </c>
      <c r="E132" s="5">
        <f>IFERROR(__xludf.DUMMYFUNCTION("""COMPUTED_VALUE"""),2019.0)</f>
        <v>2019</v>
      </c>
      <c r="F132" s="7" t="str">
        <f>IFERROR(__xludf.DUMMYFUNCTION("""COMPUTED_VALUE"""),"Epsilon")</f>
        <v>Epsilon</v>
      </c>
      <c r="G132" s="5" t="str">
        <f>IFERROR(__xludf.DUMMYFUNCTION("""COMPUTED_VALUE"""),"Chicago")</f>
        <v>Chicago</v>
      </c>
      <c r="H132" s="5" t="str">
        <f>IFERROR(__xludf.DUMMYFUNCTION("""COMPUTED_VALUE"""),"Deloitte")</f>
        <v>Deloitte</v>
      </c>
      <c r="I132" s="5" t="str">
        <f>IFERROR(__xludf.DUMMYFUNCTION("""COMPUTED_VALUE"""),"Audit and Assurance Manager")</f>
        <v>Audit and Assurance Manager</v>
      </c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5" t="str">
        <f>IFERROR(__xludf.DUMMYFUNCTION("""COMPUTED_VALUE"""),"Mary")</f>
        <v>Mary</v>
      </c>
      <c r="B133" s="5" t="str">
        <f>IFERROR(__xludf.DUMMYFUNCTION("""COMPUTED_VALUE"""),"Basler (Cengel)")</f>
        <v>Basler (Cengel)</v>
      </c>
      <c r="C133" s="43" t="str">
        <f>IFERROR(__xludf.DUMMYFUNCTION("""COMPUTED_VALUE"""),"(513) 885-8087")</f>
        <v>(513) 885-8087</v>
      </c>
      <c r="D133" s="13" t="str">
        <f>IFERROR(__xludf.DUMMYFUNCTION("""COMPUTED_VALUE"""),"Mary.basler23@gmail.com")</f>
        <v>Mary.basler23@gmail.com</v>
      </c>
      <c r="E133" s="5">
        <f>IFERROR(__xludf.DUMMYFUNCTION("""COMPUTED_VALUE"""),2019.0)</f>
        <v>2019</v>
      </c>
      <c r="F133" s="7" t="str">
        <f>IFERROR(__xludf.DUMMYFUNCTION("""COMPUTED_VALUE"""),"Epsilon")</f>
        <v>Epsilon</v>
      </c>
      <c r="G133" s="5" t="str">
        <f>IFERROR(__xludf.DUMMYFUNCTION("""COMPUTED_VALUE"""),"Cincinnati")</f>
        <v>Cincinnati</v>
      </c>
      <c r="H133" s="5" t="str">
        <f>IFERROR(__xludf.DUMMYFUNCTION("""COMPUTED_VALUE"""),"Paycor")</f>
        <v>Paycor</v>
      </c>
      <c r="I133" s="5" t="str">
        <f>IFERROR(__xludf.DUMMYFUNCTION("""COMPUTED_VALUE"""),"Regional Sales Director")</f>
        <v>Regional Sales Director</v>
      </c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28" t="str">
        <f>IFERROR(__xludf.DUMMYFUNCTION("""COMPUTED_VALUE"""),"Meghan")</f>
        <v>Meghan</v>
      </c>
      <c r="B134" s="28" t="str">
        <f>IFERROR(__xludf.DUMMYFUNCTION("""COMPUTED_VALUE"""),"Sandy")</f>
        <v>Sandy</v>
      </c>
      <c r="C134" s="43" t="str">
        <f>IFERROR(__xludf.DUMMYFUNCTION("""COMPUTED_VALUE"""),"(859) 402-4870")</f>
        <v>(859) 402-4870</v>
      </c>
      <c r="D134" s="25" t="str">
        <f>IFERROR(__xludf.DUMMYFUNCTION("""COMPUTED_VALUE"""),"Mlsandy13@att.net")</f>
        <v>Mlsandy13@att.net</v>
      </c>
      <c r="E134" s="24">
        <f>IFERROR(__xludf.DUMMYFUNCTION("""COMPUTED_VALUE"""),2019.0)</f>
        <v>2019</v>
      </c>
      <c r="F134" s="5" t="str">
        <f>IFERROR(__xludf.DUMMYFUNCTION("""COMPUTED_VALUE"""),"Zeta")</f>
        <v>Zeta</v>
      </c>
      <c r="G134" s="24" t="str">
        <f>IFERROR(__xludf.DUMMYFUNCTION("""COMPUTED_VALUE"""),"Cincinnati")</f>
        <v>Cincinnati</v>
      </c>
      <c r="H134" s="24" t="str">
        <f>IFERROR(__xludf.DUMMYFUNCTION("""COMPUTED_VALUE"""),"84.51 (Kroger)")</f>
        <v>84.51 (Kroger)</v>
      </c>
      <c r="I134" s="24" t="str">
        <f>IFERROR(__xludf.DUMMYFUNCTION("""COMPUTED_VALUE"""),"Senior Business Acceleration Consultant")</f>
        <v>Senior Business Acceleration Consultant</v>
      </c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5" t="str">
        <f>IFERROR(__xludf.DUMMYFUNCTION("""COMPUTED_VALUE"""),"Erica")</f>
        <v>Erica</v>
      </c>
      <c r="B135" s="5" t="str">
        <f>IFERROR(__xludf.DUMMYFUNCTION("""COMPUTED_VALUE"""),"Yuan")</f>
        <v>Yuan</v>
      </c>
      <c r="C135" s="43" t="str">
        <f>IFERROR(__xludf.DUMMYFUNCTION("""COMPUTED_VALUE"""),"(858) 880-5836")</f>
        <v>(858) 880-5836</v>
      </c>
      <c r="D135" s="5" t="str">
        <f>IFERROR(__xludf.DUMMYFUNCTION("""COMPUTED_VALUE"""),"yuan.e@pg.com")</f>
        <v>yuan.e@pg.com</v>
      </c>
      <c r="E135" s="5">
        <f>IFERROR(__xludf.DUMMYFUNCTION("""COMPUTED_VALUE"""),2019.0)</f>
        <v>2019</v>
      </c>
      <c r="F135" s="11" t="str">
        <f>IFERROR(__xludf.DUMMYFUNCTION("""COMPUTED_VALUE"""),"Theta")</f>
        <v>Theta</v>
      </c>
      <c r="G135" s="5" t="str">
        <f>IFERROR(__xludf.DUMMYFUNCTION("""COMPUTED_VALUE"""),"Cincinnati")</f>
        <v>Cincinnati</v>
      </c>
      <c r="H135" s="5" t="str">
        <f>IFERROR(__xludf.DUMMYFUNCTION("""COMPUTED_VALUE"""),"P &amp; G")</f>
        <v>P &amp; G</v>
      </c>
      <c r="I135" s="5" t="str">
        <f>IFERROR(__xludf.DUMMYFUNCTION("""COMPUTED_VALUE"""),"Brand Director, Downy Rinse")</f>
        <v>Brand Director, Downy Rinse</v>
      </c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25" t="str">
        <f>IFERROR(__xludf.DUMMYFUNCTION("""COMPUTED_VALUE"""),"Ryan")</f>
        <v>Ryan</v>
      </c>
      <c r="B136" s="24" t="str">
        <f>IFERROR(__xludf.DUMMYFUNCTION("""COMPUTED_VALUE"""),"Patrick")</f>
        <v>Patrick</v>
      </c>
      <c r="C136" s="43" t="str">
        <f>IFERROR(__xludf.DUMMYFUNCTION("""COMPUTED_VALUE"""),"(330) 931-2044")</f>
        <v>(330) 931-2044</v>
      </c>
      <c r="D136" s="25" t="str">
        <f>IFERROR(__xludf.DUMMYFUNCTION("""COMPUTED_VALUE"""),"Ryanspatrick0@gmail.com")</f>
        <v>Ryanspatrick0@gmail.com</v>
      </c>
      <c r="E136" s="24">
        <f>IFERROR(__xludf.DUMMYFUNCTION("""COMPUTED_VALUE"""),2019.0)</f>
        <v>2019</v>
      </c>
      <c r="F136" s="5" t="str">
        <f>IFERROR(__xludf.DUMMYFUNCTION("""COMPUTED_VALUE"""),"Eta")</f>
        <v>Eta</v>
      </c>
      <c r="G136" s="30" t="str">
        <f>IFERROR(__xludf.DUMMYFUNCTION("""COMPUTED_VALUE"""),"Cleveland")</f>
        <v>Cleveland</v>
      </c>
      <c r="H136" s="30" t="str">
        <f>IFERROR(__xludf.DUMMYFUNCTION("""COMPUTED_VALUE"""),"Progressive Insurance")</f>
        <v>Progressive Insurance</v>
      </c>
      <c r="I136" s="30" t="str">
        <f>IFERROR(__xludf.DUMMYFUNCTION("""COMPUTED_VALUE"""),"Senior Data Analyst")</f>
        <v>Senior Data Analyst</v>
      </c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5" t="str">
        <f>IFERROR(__xludf.DUMMYFUNCTION("""COMPUTED_VALUE"""),"Emma")</f>
        <v>Emma</v>
      </c>
      <c r="B137" s="5" t="str">
        <f>IFERROR(__xludf.DUMMYFUNCTION("""COMPUTED_VALUE"""),"Round")</f>
        <v>Round</v>
      </c>
      <c r="C137" s="43" t="str">
        <f>IFERROR(__xludf.DUMMYFUNCTION("""COMPUTED_VALUE"""),"(330) 5730318")</f>
        <v>(330) 5730318</v>
      </c>
      <c r="D137" s="5" t="str">
        <f>IFERROR(__xludf.DUMMYFUNCTION("""COMPUTED_VALUE"""),"emmaround17@outlook.com")</f>
        <v>emmaround17@outlook.com</v>
      </c>
      <c r="E137" s="5">
        <f>IFERROR(__xludf.DUMMYFUNCTION("""COMPUTED_VALUE"""),2019.0)</f>
        <v>2019</v>
      </c>
      <c r="F137" s="7" t="str">
        <f>IFERROR(__xludf.DUMMYFUNCTION("""COMPUTED_VALUE"""),"Theta")</f>
        <v>Theta</v>
      </c>
      <c r="G137" s="5" t="str">
        <f>IFERROR(__xludf.DUMMYFUNCTION("""COMPUTED_VALUE"""),"Cleveland")</f>
        <v>Cleveland</v>
      </c>
      <c r="H137" s="5" t="str">
        <f>IFERROR(__xludf.DUMMYFUNCTION("""COMPUTED_VALUE"""),"Avient Corporation")</f>
        <v>Avient Corporation</v>
      </c>
      <c r="I137" s="5" t="str">
        <f>IFERROR(__xludf.DUMMYFUNCTION("""COMPUTED_VALUE"""),"Senior Accountant, Financial Systems")</f>
        <v>Senior Accountant, Financial Systems</v>
      </c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1" t="str">
        <f>IFERROR(__xludf.DUMMYFUNCTION("""COMPUTED_VALUE"""),"Jacob")</f>
        <v>Jacob</v>
      </c>
      <c r="B138" s="41" t="str">
        <f>IFERROR(__xludf.DUMMYFUNCTION("""COMPUTED_VALUE"""),"Bowers")</f>
        <v>Bowers</v>
      </c>
      <c r="C138" s="45" t="str">
        <f>IFERROR(__xludf.DUMMYFUNCTION("""COMPUTED_VALUE"""),"(440) 387-9461")</f>
        <v>(440) 387-9461</v>
      </c>
      <c r="D138" s="45" t="str">
        <f>IFERROR(__xludf.DUMMYFUNCTION("""COMPUTED_VALUE"""),"Jakebowers78@yahoo.com")</f>
        <v>Jakebowers78@yahoo.com</v>
      </c>
      <c r="E138" s="41">
        <f>IFERROR(__xludf.DUMMYFUNCTION("""COMPUTED_VALUE"""),2019.0)</f>
        <v>2019</v>
      </c>
      <c r="F138" s="41" t="str">
        <f>IFERROR(__xludf.DUMMYFUNCTION("""COMPUTED_VALUE"""),"Theta")</f>
        <v>Theta</v>
      </c>
      <c r="G138" s="41" t="str">
        <f>IFERROR(__xludf.DUMMYFUNCTION("""COMPUTED_VALUE"""),"Hilton Head Island")</f>
        <v>Hilton Head Island</v>
      </c>
      <c r="H138" s="45" t="str">
        <f>IFERROR(__xludf.DUMMYFUNCTION("""COMPUTED_VALUE"""),"The Golf Apparel Shop")</f>
        <v>The Golf Apparel Shop</v>
      </c>
      <c r="I138" s="45" t="str">
        <f>IFERROR(__xludf.DUMMYFUNCTION("""COMPUTED_VALUE"""),"Store Manager")</f>
        <v>Store Manager</v>
      </c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1" t="str">
        <f>IFERROR(__xludf.DUMMYFUNCTION("""COMPUTED_VALUE"""),"Chandler")</f>
        <v>Chandler</v>
      </c>
      <c r="B139" s="41" t="str">
        <f>IFERROR(__xludf.DUMMYFUNCTION("""COMPUTED_VALUE"""),"Ross")</f>
        <v>Ross</v>
      </c>
      <c r="C139" s="45" t="str">
        <f>IFERROR(__xludf.DUMMYFUNCTION("""COMPUTED_VALUE"""),"(310) 569-1334")</f>
        <v>(310) 569-1334</v>
      </c>
      <c r="D139" s="45" t="str">
        <f>IFERROR(__xludf.DUMMYFUNCTION("""COMPUTED_VALUE"""),"chanross12997@gmail.com")</f>
        <v>chanross12997@gmail.com</v>
      </c>
      <c r="E139" s="41">
        <f>IFERROR(__xludf.DUMMYFUNCTION("""COMPUTED_VALUE"""),2019.0)</f>
        <v>2019</v>
      </c>
      <c r="F139" s="41" t="str">
        <f>IFERROR(__xludf.DUMMYFUNCTION("""COMPUTED_VALUE"""),"Zeta")</f>
        <v>Zeta</v>
      </c>
      <c r="G139" s="41" t="str">
        <f>IFERROR(__xludf.DUMMYFUNCTION("""COMPUTED_VALUE"""),"Los Angeles")</f>
        <v>Los Angeles</v>
      </c>
      <c r="H139" s="45" t="str">
        <f>IFERROR(__xludf.DUMMYFUNCTION("""COMPUTED_VALUE"""),"UM Worldwide")</f>
        <v>UM Worldwide</v>
      </c>
      <c r="I139" s="45" t="str">
        <f>IFERROR(__xludf.DUMMYFUNCTION("""COMPUTED_VALUE"""),"Senior Associate, Planner")</f>
        <v>Senior Associate, Planner</v>
      </c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1" t="str">
        <f>IFERROR(__xludf.DUMMYFUNCTION("""COMPUTED_VALUE"""),"Grant")</f>
        <v>Grant</v>
      </c>
      <c r="B140" s="41" t="str">
        <f>IFERROR(__xludf.DUMMYFUNCTION("""COMPUTED_VALUE"""),"Luby")</f>
        <v>Luby</v>
      </c>
      <c r="C140" s="45" t="str">
        <f>IFERROR(__xludf.DUMMYFUNCTION("""COMPUTED_VALUE"""),"(740) 243-3933")</f>
        <v>(740) 243-3933</v>
      </c>
      <c r="D140" s="45" t="str">
        <f>IFERROR(__xludf.DUMMYFUNCTION("""COMPUTED_VALUE"""),"grantluby@gmail.com")</f>
        <v>grantluby@gmail.com</v>
      </c>
      <c r="E140" s="41">
        <f>IFERROR(__xludf.DUMMYFUNCTION("""COMPUTED_VALUE"""),2019.0)</f>
        <v>2019</v>
      </c>
      <c r="F140" s="41" t="str">
        <f>IFERROR(__xludf.DUMMYFUNCTION("""COMPUTED_VALUE"""),"Theta")</f>
        <v>Theta</v>
      </c>
      <c r="G140" s="41" t="str">
        <f>IFERROR(__xludf.DUMMYFUNCTION("""COMPUTED_VALUE"""),"New Albany, OH")</f>
        <v>New Albany, OH</v>
      </c>
      <c r="H140" s="45" t="str">
        <f>IFERROR(__xludf.DUMMYFUNCTION("""COMPUTED_VALUE"""),"Bath and Body Works")</f>
        <v>Bath and Body Works</v>
      </c>
      <c r="I140" s="45" t="str">
        <f>IFERROR(__xludf.DUMMYFUNCTION("""COMPUTED_VALUE"""),"Operations Supervisor")</f>
        <v>Operations Supervisor</v>
      </c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1" t="str">
        <f>IFERROR(__xludf.DUMMYFUNCTION("""COMPUTED_VALUE"""),"Jesse")</f>
        <v>Jesse</v>
      </c>
      <c r="B141" s="41" t="str">
        <f>IFERROR(__xludf.DUMMYFUNCTION("""COMPUTED_VALUE"""),"Liberatore")</f>
        <v>Liberatore</v>
      </c>
      <c r="C141" s="45" t="str">
        <f>IFERROR(__xludf.DUMMYFUNCTION("""COMPUTED_VALUE"""),"(631) 662-8895")</f>
        <v>(631) 662-8895</v>
      </c>
      <c r="D141" s="45" t="str">
        <f>IFERROR(__xludf.DUMMYFUNCTION("""COMPUTED_VALUE"""),"Jesselib321@gmail.com")</f>
        <v>Jesselib321@gmail.com</v>
      </c>
      <c r="E141" s="41">
        <f>IFERROR(__xludf.DUMMYFUNCTION("""COMPUTED_VALUE"""),2019.0)</f>
        <v>2019</v>
      </c>
      <c r="F141" s="41" t="str">
        <f>IFERROR(__xludf.DUMMYFUNCTION("""COMPUTED_VALUE"""),"Theta")</f>
        <v>Theta</v>
      </c>
      <c r="G141" s="41" t="str">
        <f>IFERROR(__xludf.DUMMYFUNCTION("""COMPUTED_VALUE"""),"New York")</f>
        <v>New York</v>
      </c>
      <c r="H141" s="45" t="str">
        <f>IFERROR(__xludf.DUMMYFUNCTION("""COMPUTED_VALUE"""),"Citizens Debt Relief")</f>
        <v>Citizens Debt Relief</v>
      </c>
      <c r="I141" s="45" t="str">
        <f>IFERROR(__xludf.DUMMYFUNCTION("""COMPUTED_VALUE"""),"Senior Financial Consultant")</f>
        <v>Senior Financial Consultant</v>
      </c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24" t="str">
        <f>IFERROR(__xludf.DUMMYFUNCTION("""COMPUTED_VALUE"""),"Adela")</f>
        <v>Adela</v>
      </c>
      <c r="B142" s="24" t="str">
        <f>IFERROR(__xludf.DUMMYFUNCTION("""COMPUTED_VALUE"""),"Pang")</f>
        <v>Pang</v>
      </c>
      <c r="C142" s="43" t="str">
        <f>IFERROR(__xludf.DUMMYFUNCTION("""COMPUTED_VALUE"""),"(614) 743-8877")</f>
        <v>(614) 743-8877</v>
      </c>
      <c r="D142" s="25" t="str">
        <f>IFERROR(__xludf.DUMMYFUNCTION("""COMPUTED_VALUE"""),"panadela@gmail.com")</f>
        <v>panadela@gmail.com</v>
      </c>
      <c r="E142" s="24">
        <f>IFERROR(__xludf.DUMMYFUNCTION("""COMPUTED_VALUE"""),2019.0)</f>
        <v>2019</v>
      </c>
      <c r="F142" s="5" t="str">
        <f>IFERROR(__xludf.DUMMYFUNCTION("""COMPUTED_VALUE"""),"Theta")</f>
        <v>Theta</v>
      </c>
      <c r="G142" s="24" t="str">
        <f>IFERROR(__xludf.DUMMYFUNCTION("""COMPUTED_VALUE"""),"New York")</f>
        <v>New York</v>
      </c>
      <c r="H142" s="24" t="str">
        <f>IFERROR(__xludf.DUMMYFUNCTION("""COMPUTED_VALUE"""),"New York Univesrity")</f>
        <v>New York Univesrity</v>
      </c>
      <c r="I142" s="24" t="str">
        <f>IFERROR(__xludf.DUMMYFUNCTION("""COMPUTED_VALUE"""),"Full Time MBA Student")</f>
        <v>Full Time MBA Student</v>
      </c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5" t="str">
        <f>IFERROR(__xludf.DUMMYFUNCTION("""COMPUTED_VALUE"""),"Rakshita")</f>
        <v>Rakshita</v>
      </c>
      <c r="B143" s="5" t="str">
        <f>IFERROR(__xludf.DUMMYFUNCTION("""COMPUTED_VALUE"""),"Rajan")</f>
        <v>Rajan</v>
      </c>
      <c r="C143" s="43" t="str">
        <f>IFERROR(__xludf.DUMMYFUNCTION("""COMPUTED_VALUE"""),"(630) 730-9670")</f>
        <v>(630) 730-9670</v>
      </c>
      <c r="D143" s="5" t="str">
        <f>IFERROR(__xludf.DUMMYFUNCTION("""COMPUTED_VALUE"""),"rajanrakshitha@gmail.com")</f>
        <v>rajanrakshitha@gmail.com</v>
      </c>
      <c r="E143" s="5">
        <f>IFERROR(__xludf.DUMMYFUNCTION("""COMPUTED_VALUE"""),2019.0)</f>
        <v>2019</v>
      </c>
      <c r="F143" s="11" t="str">
        <f>IFERROR(__xludf.DUMMYFUNCTION("""COMPUTED_VALUE"""),"Zeta")</f>
        <v>Zeta</v>
      </c>
      <c r="G143" s="5" t="str">
        <f>IFERROR(__xludf.DUMMYFUNCTION("""COMPUTED_VALUE"""),"New York")</f>
        <v>New York</v>
      </c>
      <c r="H143" s="5" t="str">
        <f>IFERROR(__xludf.DUMMYFUNCTION("""COMPUTED_VALUE"""),"Deloitte")</f>
        <v>Deloitte</v>
      </c>
      <c r="I143" s="5" t="str">
        <f>IFERROR(__xludf.DUMMYFUNCTION("""COMPUTED_VALUE"""),"Finance Strategy Senior Consultant")</f>
        <v>Finance Strategy Senior Consultant</v>
      </c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24" t="str">
        <f>IFERROR(__xludf.DUMMYFUNCTION("""COMPUTED_VALUE"""),"Abby")</f>
        <v>Abby</v>
      </c>
      <c r="B144" s="24" t="str">
        <f>IFERROR(__xludf.DUMMYFUNCTION("""COMPUTED_VALUE"""),"Cummings")</f>
        <v>Cummings</v>
      </c>
      <c r="C144" s="43" t="str">
        <f>IFERROR(__xludf.DUMMYFUNCTION("""COMPUTED_VALUE"""),"(412) 303-4847")</f>
        <v>(412) 303-4847</v>
      </c>
      <c r="D144" s="25" t="str">
        <f>IFERROR(__xludf.DUMMYFUNCTION("""COMPUTED_VALUE"""),"Alcummings297@gmail.com")</f>
        <v>Alcummings297@gmail.com</v>
      </c>
      <c r="E144" s="24">
        <f>IFERROR(__xludf.DUMMYFUNCTION("""COMPUTED_VALUE"""),2019.0)</f>
        <v>2019</v>
      </c>
      <c r="F144" s="5" t="str">
        <f>IFERROR(__xludf.DUMMYFUNCTION("""COMPUTED_VALUE"""),"Eta")</f>
        <v>Eta</v>
      </c>
      <c r="G144" s="24" t="str">
        <f>IFERROR(__xludf.DUMMYFUNCTION("""COMPUTED_VALUE"""),"New York, NY")</f>
        <v>New York, NY</v>
      </c>
      <c r="H144" s="24" t="str">
        <f>IFERROR(__xludf.DUMMYFUNCTION("""COMPUTED_VALUE"""),"JP Morgan Chase &amp; Co")</f>
        <v>JP Morgan Chase &amp; Co</v>
      </c>
      <c r="I144" s="24" t="str">
        <f>IFERROR(__xludf.DUMMYFUNCTION("""COMPUTED_VALUE"""),"Finance Associate ")</f>
        <v>Finance Associate </v>
      </c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5" t="str">
        <f>IFERROR(__xludf.DUMMYFUNCTION("""COMPUTED_VALUE"""),"Lauren")</f>
        <v>Lauren</v>
      </c>
      <c r="B145" s="5" t="str">
        <f>IFERROR(__xludf.DUMMYFUNCTION("""COMPUTED_VALUE"""),"Lapid")</f>
        <v>Lapid</v>
      </c>
      <c r="C145" s="43" t="str">
        <f>IFERROR(__xludf.DUMMYFUNCTION("""COMPUTED_VALUE"""),"(740) 418-0558")</f>
        <v>(740) 418-0558</v>
      </c>
      <c r="D145" s="5" t="str">
        <f>IFERROR(__xludf.DUMMYFUNCTION("""COMPUTED_VALUE"""),"Laurenelapid@gmail.com")</f>
        <v>Laurenelapid@gmail.com</v>
      </c>
      <c r="E145" s="5">
        <f>IFERROR(__xludf.DUMMYFUNCTION("""COMPUTED_VALUE"""),2019.0)</f>
        <v>2019</v>
      </c>
      <c r="F145" s="7" t="str">
        <f>IFERROR(__xludf.DUMMYFUNCTION("""COMPUTED_VALUE"""),"Epsilon")</f>
        <v>Epsilon</v>
      </c>
      <c r="G145" s="5" t="str">
        <f>IFERROR(__xludf.DUMMYFUNCTION("""COMPUTED_VALUE"""),"Orlando, FL")</f>
        <v>Orlando, FL</v>
      </c>
      <c r="H145" s="5" t="str">
        <f>IFERROR(__xludf.DUMMYFUNCTION("""COMPUTED_VALUE"""),"Walt Disney Company")</f>
        <v>Walt Disney Company</v>
      </c>
      <c r="I145" s="5" t="str">
        <f>IFERROR(__xludf.DUMMYFUNCTION("""COMPUTED_VALUE"""),"Sr. Franchise Strategy Manager")</f>
        <v>Sr. Franchise Strategy Manager</v>
      </c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5" t="str">
        <f>IFERROR(__xludf.DUMMYFUNCTION("""COMPUTED_VALUE"""),"Christina")</f>
        <v>Christina</v>
      </c>
      <c r="B146" s="5" t="str">
        <f>IFERROR(__xludf.DUMMYFUNCTION("""COMPUTED_VALUE"""),"Gu")</f>
        <v>Gu</v>
      </c>
      <c r="C146" s="43" t="str">
        <f>IFERROR(__xludf.DUMMYFUNCTION("""COMPUTED_VALUE"""),"(513) 364-3223")</f>
        <v>(513) 364-3223</v>
      </c>
      <c r="D146" s="13" t="str">
        <f>IFERROR(__xludf.DUMMYFUNCTION("""COMPUTED_VALUE"""),"gu.christina22@gmail.com")</f>
        <v>gu.christina22@gmail.com</v>
      </c>
      <c r="E146" s="5">
        <f>IFERROR(__xludf.DUMMYFUNCTION("""COMPUTED_VALUE"""),2019.0)</f>
        <v>2019</v>
      </c>
      <c r="F146" s="12" t="str">
        <f>IFERROR(__xludf.DUMMYFUNCTION("""COMPUTED_VALUE"""),"Zeta")</f>
        <v>Zeta</v>
      </c>
      <c r="G146" s="5" t="str">
        <f>IFERROR(__xludf.DUMMYFUNCTION("""COMPUTED_VALUE"""),"Philadelphia, PA")</f>
        <v>Philadelphia, PA</v>
      </c>
      <c r="H146" s="5" t="str">
        <f>IFERROR(__xludf.DUMMYFUNCTION("""COMPUTED_VALUE"""),"Vanguard")</f>
        <v>Vanguard</v>
      </c>
      <c r="I146" s="5" t="str">
        <f>IFERROR(__xludf.DUMMYFUNCTION("""COMPUTED_VALUE"""),"International FP&amp;A Analyst")</f>
        <v>International FP&amp;A Analyst</v>
      </c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1" t="str">
        <f>IFERROR(__xludf.DUMMYFUNCTION("""COMPUTED_VALUE"""),"Emma")</f>
        <v>Emma</v>
      </c>
      <c r="B147" s="41" t="str">
        <f>IFERROR(__xludf.DUMMYFUNCTION("""COMPUTED_VALUE"""),"Lucas")</f>
        <v>Lucas</v>
      </c>
      <c r="C147" s="45" t="str">
        <f>IFERROR(__xludf.DUMMYFUNCTION("""COMPUTED_VALUE"""),"(724) 554-4831")</f>
        <v>(724) 554-4831</v>
      </c>
      <c r="D147" s="45" t="str">
        <f>IFERROR(__xludf.DUMMYFUNCTION("""COMPUTED_VALUE"""),"elucas2015@gmail.com")</f>
        <v>elucas2015@gmail.com</v>
      </c>
      <c r="E147" s="41">
        <f>IFERROR(__xludf.DUMMYFUNCTION("""COMPUTED_VALUE"""),2019.0)</f>
        <v>2019</v>
      </c>
      <c r="F147" s="41" t="str">
        <f>IFERROR(__xludf.DUMMYFUNCTION("""COMPUTED_VALUE"""),"Iota")</f>
        <v>Iota</v>
      </c>
      <c r="G147" s="41" t="str">
        <f>IFERROR(__xludf.DUMMYFUNCTION("""COMPUTED_VALUE"""),"Washington D.C.")</f>
        <v>Washington D.C.</v>
      </c>
      <c r="H147" s="45" t="str">
        <f>IFERROR(__xludf.DUMMYFUNCTION("""COMPUTED_VALUE"""),"Federal Reserve Board")</f>
        <v>Federal Reserve Board</v>
      </c>
      <c r="I147" s="45" t="str">
        <f>IFERROR(__xludf.DUMMYFUNCTION("""COMPUTED_VALUE"""),"Program Manager")</f>
        <v>Program Manager</v>
      </c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5" t="str">
        <f>IFERROR(__xludf.DUMMYFUNCTION("""COMPUTED_VALUE"""),"Lewis")</f>
        <v>Lewis</v>
      </c>
      <c r="B148" s="5" t="str">
        <f>IFERROR(__xludf.DUMMYFUNCTION("""COMPUTED_VALUE"""),"Mackie")</f>
        <v>Mackie</v>
      </c>
      <c r="C148" s="43" t="str">
        <f>IFERROR(__xludf.DUMMYFUNCTION("""COMPUTED_VALUE"""),"(419) 701-8108")</f>
        <v>(419) 701-8108</v>
      </c>
      <c r="D148" s="5" t="str">
        <f>IFERROR(__xludf.DUMMYFUNCTION("""COMPUTED_VALUE"""),"lewismackie21@gmail.com")</f>
        <v>lewismackie21@gmail.com</v>
      </c>
      <c r="E148" s="5">
        <f>IFERROR(__xludf.DUMMYFUNCTION("""COMPUTED_VALUE"""),2019.0)</f>
        <v>2019</v>
      </c>
      <c r="F148" s="11" t="str">
        <f>IFERROR(__xludf.DUMMYFUNCTION("""COMPUTED_VALUE"""),"Zeta")</f>
        <v>Zeta</v>
      </c>
      <c r="G148" s="5" t="str">
        <f>IFERROR(__xludf.DUMMYFUNCTION("""COMPUTED_VALUE"""),"Los Angeles, CA")</f>
        <v>Los Angeles, CA</v>
      </c>
      <c r="H148" s="5" t="str">
        <f>IFERROR(__xludf.DUMMYFUNCTION("""COMPUTED_VALUE"""),"N/A, doing freelance production work")</f>
        <v>N/A, doing freelance production work</v>
      </c>
      <c r="I148" s="5" t="str">
        <f>IFERROR(__xludf.DUMMYFUNCTION("""COMPUTED_VALUE"""),"Associate Producer")</f>
        <v>Associate Producer</v>
      </c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5" t="str">
        <f>IFERROR(__xludf.DUMMYFUNCTION("""COMPUTED_VALUE"""),"Jon")</f>
        <v>Jon</v>
      </c>
      <c r="B149" s="5" t="str">
        <f>IFERROR(__xludf.DUMMYFUNCTION("""COMPUTED_VALUE"""),"Alles")</f>
        <v>Alles</v>
      </c>
      <c r="C149" s="43" t="str">
        <f>IFERROR(__xludf.DUMMYFUNCTION("""COMPUTED_VALUE"""),"(414) 975-7303")</f>
        <v>(414) 975-7303</v>
      </c>
      <c r="D149" s="5" t="str">
        <f>IFERROR(__xludf.DUMMYFUNCTION("""COMPUTED_VALUE"""),"jonathanalles5@gmail.com")</f>
        <v>jonathanalles5@gmail.com</v>
      </c>
      <c r="E149" s="5">
        <f>IFERROR(__xludf.DUMMYFUNCTION("""COMPUTED_VALUE"""),2020.0)</f>
        <v>2020</v>
      </c>
      <c r="F149" s="11" t="str">
        <f>IFERROR(__xludf.DUMMYFUNCTION("""COMPUTED_VALUE"""),"Iota")</f>
        <v>Iota</v>
      </c>
      <c r="G149" s="5" t="str">
        <f>IFERROR(__xludf.DUMMYFUNCTION("""COMPUTED_VALUE"""),"Chicago")</f>
        <v>Chicago</v>
      </c>
      <c r="H149" s="5" t="str">
        <f>IFERROR(__xludf.DUMMYFUNCTION("""COMPUTED_VALUE"""),"Boston Consulting Group (BCG)")</f>
        <v>Boston Consulting Group (BCG)</v>
      </c>
      <c r="I149" s="5" t="str">
        <f>IFERROR(__xludf.DUMMYFUNCTION("""COMPUTED_VALUE"""),"Project Leader")</f>
        <v>Project Leader</v>
      </c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5" t="str">
        <f>IFERROR(__xludf.DUMMYFUNCTION("""COMPUTED_VALUE"""),"Jeff")</f>
        <v>Jeff</v>
      </c>
      <c r="B150" s="5" t="str">
        <f>IFERROR(__xludf.DUMMYFUNCTION("""COMPUTED_VALUE"""),"Graf")</f>
        <v>Graf</v>
      </c>
      <c r="C150" s="43" t="str">
        <f>IFERROR(__xludf.DUMMYFUNCTION("""COMPUTED_VALUE"""),"(630) 470-3294")</f>
        <v>(630) 470-3294</v>
      </c>
      <c r="D150" s="5" t="str">
        <f>IFERROR(__xludf.DUMMYFUNCTION("""COMPUTED_VALUE"""),"jwvgraf@gmail.com")</f>
        <v>jwvgraf@gmail.com</v>
      </c>
      <c r="E150" s="5">
        <f>IFERROR(__xludf.DUMMYFUNCTION("""COMPUTED_VALUE"""),2020.0)</f>
        <v>2020</v>
      </c>
      <c r="F150" s="7" t="str">
        <f>IFERROR(__xludf.DUMMYFUNCTION("""COMPUTED_VALUE"""),"Iota")</f>
        <v>Iota</v>
      </c>
      <c r="G150" s="5" t="str">
        <f>IFERROR(__xludf.DUMMYFUNCTION("""COMPUTED_VALUE"""),"Chicago")</f>
        <v>Chicago</v>
      </c>
      <c r="H150" s="5" t="str">
        <f>IFERROR(__xludf.DUMMYFUNCTION("""COMPUTED_VALUE"""),"EY")</f>
        <v>EY</v>
      </c>
      <c r="I150" s="5" t="str">
        <f>IFERROR(__xludf.DUMMYFUNCTION("""COMPUTED_VALUE"""),"Assurance Senior Associate")</f>
        <v>Assurance Senior Associate</v>
      </c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1" t="str">
        <f>IFERROR(__xludf.DUMMYFUNCTION("""COMPUTED_VALUE"""),"Tori")</f>
        <v>Tori</v>
      </c>
      <c r="B151" s="41" t="str">
        <f>IFERROR(__xludf.DUMMYFUNCTION("""COMPUTED_VALUE"""),"Morell")</f>
        <v>Morell</v>
      </c>
      <c r="C151" s="45" t="str">
        <f>IFERROR(__xludf.DUMMYFUNCTION("""COMPUTED_VALUE"""),"(614) 357-5208")</f>
        <v>(614) 357-5208</v>
      </c>
      <c r="D151" s="45" t="str">
        <f>IFERROR(__xludf.DUMMYFUNCTION("""COMPUTED_VALUE"""),"tormor98@gmail.com")</f>
        <v>tormor98@gmail.com</v>
      </c>
      <c r="E151" s="41">
        <f>IFERROR(__xludf.DUMMYFUNCTION("""COMPUTED_VALUE"""),2020.0)</f>
        <v>2020</v>
      </c>
      <c r="F151" s="41" t="str">
        <f>IFERROR(__xludf.DUMMYFUNCTION("""COMPUTED_VALUE"""),"Kappa")</f>
        <v>Kappa</v>
      </c>
      <c r="G151" s="41" t="str">
        <f>IFERROR(__xludf.DUMMYFUNCTION("""COMPUTED_VALUE"""),"Chicago")</f>
        <v>Chicago</v>
      </c>
      <c r="H151" s="45" t="str">
        <f>IFERROR(__xludf.DUMMYFUNCTION("""COMPUTED_VALUE"""),"Freddie Mac")</f>
        <v>Freddie Mac</v>
      </c>
      <c r="I151" s="45" t="str">
        <f>IFERROR(__xludf.DUMMYFUNCTION("""COMPUTED_VALUE"""),"Multifamily Underwriting Senior Analyst")</f>
        <v>Multifamily Underwriting Senior Analyst</v>
      </c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5" t="str">
        <f>IFERROR(__xludf.DUMMYFUNCTION("""COMPUTED_VALUE"""),"Matt")</f>
        <v>Matt</v>
      </c>
      <c r="B152" s="5" t="str">
        <f>IFERROR(__xludf.DUMMYFUNCTION("""COMPUTED_VALUE"""),"Nedilsky")</f>
        <v>Nedilsky</v>
      </c>
      <c r="C152" s="43" t="str">
        <f>IFERROR(__xludf.DUMMYFUNCTION("""COMPUTED_VALUE"""),"(201) 815-9908")</f>
        <v>(201) 815-9908</v>
      </c>
      <c r="D152" s="5" t="str">
        <f>IFERROR(__xludf.DUMMYFUNCTION("""COMPUTED_VALUE"""),"Mnedilsky@yahoo.com")</f>
        <v>Mnedilsky@yahoo.com</v>
      </c>
      <c r="E152" s="5">
        <f>IFERROR(__xludf.DUMMYFUNCTION("""COMPUTED_VALUE"""),2020.0)</f>
        <v>2020</v>
      </c>
      <c r="F152" s="7" t="str">
        <f>IFERROR(__xludf.DUMMYFUNCTION("""COMPUTED_VALUE"""),"Iota")</f>
        <v>Iota</v>
      </c>
      <c r="G152" s="5" t="str">
        <f>IFERROR(__xludf.DUMMYFUNCTION("""COMPUTED_VALUE"""),"Chicago")</f>
        <v>Chicago</v>
      </c>
      <c r="H152" s="5" t="str">
        <f>IFERROR(__xludf.DUMMYFUNCTION("""COMPUTED_VALUE"""),"Walgreens")</f>
        <v>Walgreens</v>
      </c>
      <c r="I152" s="5" t="str">
        <f>IFERROR(__xludf.DUMMYFUNCTION("""COMPUTED_VALUE"""),"Senior Supply Chain Data Governace Quality Analyst")</f>
        <v>Senior Supply Chain Data Governace Quality Analyst</v>
      </c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24" t="str">
        <f>IFERROR(__xludf.DUMMYFUNCTION("""COMPUTED_VALUE"""),"Neel")</f>
        <v>Neel</v>
      </c>
      <c r="B153" s="24" t="str">
        <f>IFERROR(__xludf.DUMMYFUNCTION("""COMPUTED_VALUE"""),"Patel")</f>
        <v>Patel</v>
      </c>
      <c r="C153" s="43" t="str">
        <f>IFERROR(__xludf.DUMMYFUNCTION("""COMPUTED_VALUE"""),"(630) 765-2314")</f>
        <v>(630) 765-2314</v>
      </c>
      <c r="D153" s="25" t="str">
        <f>IFERROR(__xludf.DUMMYFUNCTION("""COMPUTED_VALUE"""),"Neelp2017@gmail.com")</f>
        <v>Neelp2017@gmail.com</v>
      </c>
      <c r="E153" s="24">
        <f>IFERROR(__xludf.DUMMYFUNCTION("""COMPUTED_VALUE"""),2020.0)</f>
        <v>2020</v>
      </c>
      <c r="F153" s="5" t="str">
        <f>IFERROR(__xludf.DUMMYFUNCTION("""COMPUTED_VALUE"""),"Iota")</f>
        <v>Iota</v>
      </c>
      <c r="G153" s="24" t="str">
        <f>IFERROR(__xludf.DUMMYFUNCTION("""COMPUTED_VALUE"""),"Chicago")</f>
        <v>Chicago</v>
      </c>
      <c r="H153" s="24" t="str">
        <f>IFERROR(__xludf.DUMMYFUNCTION("""COMPUTED_VALUE"""),"DLA, LLC")</f>
        <v>DLA, LLC</v>
      </c>
      <c r="I153" s="24" t="str">
        <f>IFERROR(__xludf.DUMMYFUNCTION("""COMPUTED_VALUE"""),"Senior Associate")</f>
        <v>Senior Associate</v>
      </c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24" t="str">
        <f>IFERROR(__xludf.DUMMYFUNCTION("""COMPUTED_VALUE"""),"Jeremy")</f>
        <v>Jeremy</v>
      </c>
      <c r="B154" s="24" t="str">
        <f>IFERROR(__xludf.DUMMYFUNCTION("""COMPUTED_VALUE"""),"Schatz")</f>
        <v>Schatz</v>
      </c>
      <c r="C154" s="43" t="str">
        <f>IFERROR(__xludf.DUMMYFUNCTION("""COMPUTED_VALUE"""),"(716) 698-4870")</f>
        <v>(716) 698-4870</v>
      </c>
      <c r="D154" s="25" t="str">
        <f>IFERROR(__xludf.DUMMYFUNCTION("""COMPUTED_VALUE"""),"jmschat1@gmail.com")</f>
        <v>jmschat1@gmail.com</v>
      </c>
      <c r="E154" s="24">
        <f>IFERROR(__xludf.DUMMYFUNCTION("""COMPUTED_VALUE"""),2020.0)</f>
        <v>2020</v>
      </c>
      <c r="F154" s="5" t="str">
        <f>IFERROR(__xludf.DUMMYFUNCTION("""COMPUTED_VALUE"""),"Theta")</f>
        <v>Theta</v>
      </c>
      <c r="G154" s="24" t="str">
        <f>IFERROR(__xludf.DUMMYFUNCTION("""COMPUTED_VALUE"""),"Chicago")</f>
        <v>Chicago</v>
      </c>
      <c r="H154" s="24" t="str">
        <f>IFERROR(__xludf.DUMMYFUNCTION("""COMPUTED_VALUE"""),"PwC")</f>
        <v>PwC</v>
      </c>
      <c r="I154" s="24" t="str">
        <f>IFERROR(__xludf.DUMMYFUNCTION("""COMPUTED_VALUE"""),"Senior Assurance Associate")</f>
        <v>Senior Assurance Associate</v>
      </c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24" t="str">
        <f>IFERROR(__xludf.DUMMYFUNCTION("""COMPUTED_VALUE"""),"Kevin")</f>
        <v>Kevin</v>
      </c>
      <c r="B155" s="24" t="str">
        <f>IFERROR(__xludf.DUMMYFUNCTION("""COMPUTED_VALUE"""),"Scherer")</f>
        <v>Scherer</v>
      </c>
      <c r="C155" s="43" t="str">
        <f>IFERROR(__xludf.DUMMYFUNCTION("""COMPUTED_VALUE"""),"(224) 935-2953")</f>
        <v>(224) 935-2953</v>
      </c>
      <c r="D155" s="25" t="str">
        <f>IFERROR(__xludf.DUMMYFUNCTION("""COMPUTED_VALUE""")," kscherer177@gmail.com")</f>
        <v> kscherer177@gmail.com</v>
      </c>
      <c r="E155" s="24">
        <f>IFERROR(__xludf.DUMMYFUNCTION("""COMPUTED_VALUE"""),2020.0)</f>
        <v>2020</v>
      </c>
      <c r="F155" s="24" t="str">
        <f>IFERROR(__xludf.DUMMYFUNCTION("""COMPUTED_VALUE"""),"Iota")</f>
        <v>Iota</v>
      </c>
      <c r="G155" s="24" t="str">
        <f>IFERROR(__xludf.DUMMYFUNCTION("""COMPUTED_VALUE"""),"Chicago")</f>
        <v>Chicago</v>
      </c>
      <c r="H155" s="24" t="str">
        <f>IFERROR(__xludf.DUMMYFUNCTION("""COMPUTED_VALUE"""),"Northern Trust")</f>
        <v>Northern Trust</v>
      </c>
      <c r="I155" s="24" t="str">
        <f>IFERROR(__xludf.DUMMYFUNCTION("""COMPUTED_VALUE"""),"Senior Fund Accountant")</f>
        <v>Senior Fund Accountant</v>
      </c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5" t="str">
        <f>IFERROR(__xludf.DUMMYFUNCTION("""COMPUTED_VALUE"""),"Maneesh")</f>
        <v>Maneesh</v>
      </c>
      <c r="B156" s="5" t="str">
        <f>IFERROR(__xludf.DUMMYFUNCTION("""COMPUTED_VALUE"""),"Somisetty")</f>
        <v>Somisetty</v>
      </c>
      <c r="C156" s="43" t="str">
        <f>IFERROR(__xludf.DUMMYFUNCTION("""COMPUTED_VALUE"""),"(630) 703-9035")</f>
        <v>(630) 703-9035</v>
      </c>
      <c r="D156" s="5" t="str">
        <f>IFERROR(__xludf.DUMMYFUNCTION("""COMPUTED_VALUE"""),"maneesh.somisetty@gmail.com")</f>
        <v>maneesh.somisetty@gmail.com</v>
      </c>
      <c r="E156" s="5">
        <f>IFERROR(__xludf.DUMMYFUNCTION("""COMPUTED_VALUE"""),2020.0)</f>
        <v>2020</v>
      </c>
      <c r="F156" s="11" t="str">
        <f>IFERROR(__xludf.DUMMYFUNCTION("""COMPUTED_VALUE"""),"Iota")</f>
        <v>Iota</v>
      </c>
      <c r="G156" s="5" t="str">
        <f>IFERROR(__xludf.DUMMYFUNCTION("""COMPUTED_VALUE"""),"Chicago")</f>
        <v>Chicago</v>
      </c>
      <c r="H156" s="5" t="str">
        <f>IFERROR(__xludf.DUMMYFUNCTION("""COMPUTED_VALUE"""),"Orveon Global")</f>
        <v>Orveon Global</v>
      </c>
      <c r="I156" s="5" t="str">
        <f>IFERROR(__xludf.DUMMYFUNCTION("""COMPUTED_VALUE"""),"Associate FP&amp;A Manager- International Sales Analyst")</f>
        <v>Associate FP&amp;A Manager- International Sales Analyst</v>
      </c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1" t="str">
        <f>IFERROR(__xludf.DUMMYFUNCTION("""COMPUTED_VALUE"""),"Ruby")</f>
        <v>Ruby</v>
      </c>
      <c r="B157" s="41" t="str">
        <f>IFERROR(__xludf.DUMMYFUNCTION("""COMPUTED_VALUE"""),"Xun")</f>
        <v>Xun</v>
      </c>
      <c r="C157" s="45" t="str">
        <f>IFERROR(__xludf.DUMMYFUNCTION("""COMPUTED_VALUE"""),"(440) 429-7012")</f>
        <v>(440) 429-7012</v>
      </c>
      <c r="D157" s="45" t="str">
        <f>IFERROR(__xludf.DUMMYFUNCTION("""COMPUTED_VALUE"""),"xunruby@gmail.com")</f>
        <v>xunruby@gmail.com</v>
      </c>
      <c r="E157" s="41">
        <f>IFERROR(__xludf.DUMMYFUNCTION("""COMPUTED_VALUE"""),2020.0)</f>
        <v>2020</v>
      </c>
      <c r="F157" s="41" t="str">
        <f>IFERROR(__xludf.DUMMYFUNCTION("""COMPUTED_VALUE"""),"Theta")</f>
        <v>Theta</v>
      </c>
      <c r="G157" s="41" t="str">
        <f>IFERROR(__xludf.DUMMYFUNCTION("""COMPUTED_VALUE"""),"Chicago")</f>
        <v>Chicago</v>
      </c>
      <c r="H157" s="45" t="str">
        <f>IFERROR(__xludf.DUMMYFUNCTION("""COMPUTED_VALUE"""),"Accenture")</f>
        <v>Accenture</v>
      </c>
      <c r="I157" s="45" t="str">
        <f>IFERROR(__xludf.DUMMYFUNCTION("""COMPUTED_VALUE"""),"Former Innovation Consultant")</f>
        <v>Former Innovation Consultant</v>
      </c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5" t="str">
        <f>IFERROR(__xludf.DUMMYFUNCTION("""COMPUTED_VALUE"""),"Angela")</f>
        <v>Angela</v>
      </c>
      <c r="B158" s="5" t="str">
        <f>IFERROR(__xludf.DUMMYFUNCTION("""COMPUTED_VALUE"""),"Zhang")</f>
        <v>Zhang</v>
      </c>
      <c r="C158" s="43" t="str">
        <f>IFERROR(__xludf.DUMMYFUNCTION("""COMPUTED_VALUE"""),"(614) 401-9865")</f>
        <v>(614) 401-9865</v>
      </c>
      <c r="D158" s="5" t="str">
        <f>IFERROR(__xludf.DUMMYFUNCTION("""COMPUTED_VALUE"""),"anzhang@hcg.com")</f>
        <v>anzhang@hcg.com</v>
      </c>
      <c r="E158" s="5">
        <f>IFERROR(__xludf.DUMMYFUNCTION("""COMPUTED_VALUE"""),2020.0)</f>
        <v>2020</v>
      </c>
      <c r="F158" s="7" t="str">
        <f>IFERROR(__xludf.DUMMYFUNCTION("""COMPUTED_VALUE"""),"Theta")</f>
        <v>Theta</v>
      </c>
      <c r="G158" s="5" t="str">
        <f>IFERROR(__xludf.DUMMYFUNCTION("""COMPUTED_VALUE"""),"Chicago")</f>
        <v>Chicago</v>
      </c>
      <c r="H158" s="5" t="str">
        <f>IFERROR(__xludf.DUMMYFUNCTION("""COMPUTED_VALUE"""),"Huron Consulting Group")</f>
        <v>Huron Consulting Group</v>
      </c>
      <c r="I158" s="5" t="str">
        <f>IFERROR(__xludf.DUMMYFUNCTION("""COMPUTED_VALUE"""),"Healthcare Associate")</f>
        <v>Healthcare Associate</v>
      </c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5" t="str">
        <f>IFERROR(__xludf.DUMMYFUNCTION("""COMPUTED_VALUE"""),"Cassie")</f>
        <v>Cassie</v>
      </c>
      <c r="B159" s="5" t="str">
        <f>IFERROR(__xludf.DUMMYFUNCTION("""COMPUTED_VALUE"""),"Ziance")</f>
        <v>Ziance</v>
      </c>
      <c r="C159" s="43" t="str">
        <f>IFERROR(__xludf.DUMMYFUNCTION("""COMPUTED_VALUE"""),"(614) 406-8937")</f>
        <v>(614) 406-8937</v>
      </c>
      <c r="D159" s="13" t="str">
        <f>IFERROR(__xludf.DUMMYFUNCTION("""COMPUTED_VALUE"""),"Cassandraziance@gmail.com")</f>
        <v>Cassandraziance@gmail.com</v>
      </c>
      <c r="E159" s="5">
        <f>IFERROR(__xludf.DUMMYFUNCTION("""COMPUTED_VALUE"""),2020.0)</f>
        <v>2020</v>
      </c>
      <c r="F159" s="5" t="str">
        <f>IFERROR(__xludf.DUMMYFUNCTION("""COMPUTED_VALUE"""),"Theta")</f>
        <v>Theta</v>
      </c>
      <c r="G159" s="5" t="str">
        <f>IFERROR(__xludf.DUMMYFUNCTION("""COMPUTED_VALUE"""),"Chicago")</f>
        <v>Chicago</v>
      </c>
      <c r="H159" s="5" t="str">
        <f>IFERROR(__xludf.DUMMYFUNCTION("""COMPUTED_VALUE"""),"Calzada Capital Partners")</f>
        <v>Calzada Capital Partners</v>
      </c>
      <c r="I159" s="5" t="str">
        <f>IFERROR(__xludf.DUMMYFUNCTION("""COMPUTED_VALUE"""),"Senior Accountant")</f>
        <v>Senior Accountant</v>
      </c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5" t="str">
        <f>IFERROR(__xludf.DUMMYFUNCTION("""COMPUTED_VALUE"""),"Casey")</f>
        <v>Casey</v>
      </c>
      <c r="B160" s="5" t="str">
        <f>IFERROR(__xludf.DUMMYFUNCTION("""COMPUTED_VALUE"""),"Mitchell")</f>
        <v>Mitchell</v>
      </c>
      <c r="C160" s="43" t="str">
        <f>IFERROR(__xludf.DUMMYFUNCTION("""COMPUTED_VALUE"""),"(513) 255-5900")</f>
        <v>(513) 255-5900</v>
      </c>
      <c r="D160" s="5" t="str">
        <f>IFERROR(__xludf.DUMMYFUNCTION("""COMPUTED_VALUE"""),"Casey.mitchell19@yahoo.com")</f>
        <v>Casey.mitchell19@yahoo.com</v>
      </c>
      <c r="E160" s="5">
        <f>IFERROR(__xludf.DUMMYFUNCTION("""COMPUTED_VALUE"""),2020.0)</f>
        <v>2020</v>
      </c>
      <c r="F160" s="7" t="str">
        <f>IFERROR(__xludf.DUMMYFUNCTION("""COMPUTED_VALUE"""),"Iota")</f>
        <v>Iota</v>
      </c>
      <c r="G160" s="5" t="str">
        <f>IFERROR(__xludf.DUMMYFUNCTION("""COMPUTED_VALUE"""),"Cincinnati")</f>
        <v>Cincinnati</v>
      </c>
      <c r="H160" s="5" t="str">
        <f>IFERROR(__xludf.DUMMYFUNCTION("""COMPUTED_VALUE"""),"Standard Textile")</f>
        <v>Standard Textile</v>
      </c>
      <c r="I160" s="5" t="str">
        <f>IFERROR(__xludf.DUMMYFUNCTION("""COMPUTED_VALUE"""),"Former Program Manager")</f>
        <v>Former Program Manager</v>
      </c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5" t="str">
        <f>IFERROR(__xludf.DUMMYFUNCTION("""COMPUTED_VALUE"""),"Ryan")</f>
        <v>Ryan</v>
      </c>
      <c r="B161" s="5" t="str">
        <f>IFERROR(__xludf.DUMMYFUNCTION("""COMPUTED_VALUE"""),"Ashdown")</f>
        <v>Ashdown</v>
      </c>
      <c r="C161" s="43" t="str">
        <f>IFERROR(__xludf.DUMMYFUNCTION("""COMPUTED_VALUE"""),"(440) 409-6850")</f>
        <v>(440) 409-6850</v>
      </c>
      <c r="D161" s="5" t="str">
        <f>IFERROR(__xludf.DUMMYFUNCTION("""COMPUTED_VALUE"""),"ryanashdown10@gmail.com")</f>
        <v>ryanashdown10@gmail.com</v>
      </c>
      <c r="E161" s="5">
        <f>IFERROR(__xludf.DUMMYFUNCTION("""COMPUTED_VALUE"""),2020.0)</f>
        <v>2020</v>
      </c>
      <c r="F161" s="7" t="str">
        <f>IFERROR(__xludf.DUMMYFUNCTION("""COMPUTED_VALUE"""),"Iota")</f>
        <v>Iota</v>
      </c>
      <c r="G161" s="5" t="str">
        <f>IFERROR(__xludf.DUMMYFUNCTION("""COMPUTED_VALUE"""),"Cleveland")</f>
        <v>Cleveland</v>
      </c>
      <c r="H161" s="5" t="str">
        <f>IFERROR(__xludf.DUMMYFUNCTION("""COMPUTED_VALUE"""),"WTWH Media")</f>
        <v>WTWH Media</v>
      </c>
      <c r="I161" s="5" t="str">
        <f>IFERROR(__xludf.DUMMYFUNCTION("""COMPUTED_VALUE"""),"B2B Marketing &amp; Advertising Regional Sales Manager")</f>
        <v>B2B Marketing &amp; Advertising Regional Sales Manager</v>
      </c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5" t="str">
        <f>IFERROR(__xludf.DUMMYFUNCTION("""COMPUTED_VALUE"""),"Gabi")</f>
        <v>Gabi</v>
      </c>
      <c r="B162" s="5" t="str">
        <f>IFERROR(__xludf.DUMMYFUNCTION("""COMPUTED_VALUE"""),"Bewie")</f>
        <v>Bewie</v>
      </c>
      <c r="C162" s="43" t="str">
        <f>IFERROR(__xludf.DUMMYFUNCTION("""COMPUTED_VALUE"""),"(440) 915-0865")</f>
        <v>(440) 915-0865</v>
      </c>
      <c r="D162" s="5" t="str">
        <f>IFERROR(__xludf.DUMMYFUNCTION("""COMPUTED_VALUE"""),"bewiegr@gmail.com")</f>
        <v>bewiegr@gmail.com</v>
      </c>
      <c r="E162" s="5">
        <f>IFERROR(__xludf.DUMMYFUNCTION("""COMPUTED_VALUE"""),2020.0)</f>
        <v>2020</v>
      </c>
      <c r="F162" s="7" t="str">
        <f>IFERROR(__xludf.DUMMYFUNCTION("""COMPUTED_VALUE"""),"Kappa")</f>
        <v>Kappa</v>
      </c>
      <c r="G162" s="5" t="str">
        <f>IFERROR(__xludf.DUMMYFUNCTION("""COMPUTED_VALUE"""),"Cleveland")</f>
        <v>Cleveland</v>
      </c>
      <c r="H162" s="5" t="str">
        <f>IFERROR(__xludf.DUMMYFUNCTION("""COMPUTED_VALUE"""),"Key Bank")</f>
        <v>Key Bank</v>
      </c>
      <c r="I162" s="5" t="str">
        <f>IFERROR(__xludf.DUMMYFUNCTION("""COMPUTED_VALUE"""),"Vice President, Commercial Bank Strategy Manager")</f>
        <v>Vice President, Commercial Bank Strategy Manager</v>
      </c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1" t="str">
        <f>IFERROR(__xludf.DUMMYFUNCTION("""COMPUTED_VALUE"""),"Nicole")</f>
        <v>Nicole</v>
      </c>
      <c r="B163" s="41" t="str">
        <f>IFERROR(__xludf.DUMMYFUNCTION("""COMPUTED_VALUE"""),"Bell")</f>
        <v>Bell</v>
      </c>
      <c r="C163" s="45" t="str">
        <f>IFERROR(__xludf.DUMMYFUNCTION("""COMPUTED_VALUE"""),"(440) 554-1668")</f>
        <v>(440) 554-1668</v>
      </c>
      <c r="D163" s="45" t="str">
        <f>IFERROR(__xludf.DUMMYFUNCTION("""COMPUTED_VALUE"""),"nicole_e_bell@outlook.com")</f>
        <v>nicole_e_bell@outlook.com</v>
      </c>
      <c r="E163" s="41">
        <f>IFERROR(__xludf.DUMMYFUNCTION("""COMPUTED_VALUE"""),2020.0)</f>
        <v>2020</v>
      </c>
      <c r="F163" s="41" t="str">
        <f>IFERROR(__xludf.DUMMYFUNCTION("""COMPUTED_VALUE"""),"Kappa")</f>
        <v>Kappa</v>
      </c>
      <c r="G163" s="41" t="str">
        <f>IFERROR(__xludf.DUMMYFUNCTION("""COMPUTED_VALUE"""),"Columbus")</f>
        <v>Columbus</v>
      </c>
      <c r="H163" s="45" t="str">
        <f>IFERROR(__xludf.DUMMYFUNCTION("""COMPUTED_VALUE"""),"Key Bank")</f>
        <v>Key Bank</v>
      </c>
      <c r="I163" s="45" t="str">
        <f>IFERROR(__xludf.DUMMYFUNCTION("""COMPUTED_VALUE"""),"Senior Financial Analyst")</f>
        <v>Senior Financial Analyst</v>
      </c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5" t="str">
        <f>IFERROR(__xludf.DUMMYFUNCTION("""COMPUTED_VALUE"""),"Charlie")</f>
        <v>Charlie</v>
      </c>
      <c r="B164" s="5" t="str">
        <f>IFERROR(__xludf.DUMMYFUNCTION("""COMPUTED_VALUE"""),"Carey")</f>
        <v>Carey</v>
      </c>
      <c r="C164" s="43" t="str">
        <f>IFERROR(__xludf.DUMMYFUNCTION("""COMPUTED_VALUE"""),"(216) 772-9251")</f>
        <v>(216) 772-9251</v>
      </c>
      <c r="D164" s="5" t="str">
        <f>IFERROR(__xludf.DUMMYFUNCTION("""COMPUTED_VALUE"""),"ctcarey1998@yahoo.com")</f>
        <v>ctcarey1998@yahoo.com</v>
      </c>
      <c r="E164" s="5">
        <f>IFERROR(__xludf.DUMMYFUNCTION("""COMPUTED_VALUE"""),2020.0)</f>
        <v>2020</v>
      </c>
      <c r="F164" s="7" t="str">
        <f>IFERROR(__xludf.DUMMYFUNCTION("""COMPUTED_VALUE"""),"Kappa")</f>
        <v>Kappa</v>
      </c>
      <c r="G164" s="5" t="str">
        <f>IFERROR(__xludf.DUMMYFUNCTION("""COMPUTED_VALUE"""),"Cleveland")</f>
        <v>Cleveland</v>
      </c>
      <c r="H164" s="5" t="str">
        <f>IFERROR(__xludf.DUMMYFUNCTION("""COMPUTED_VALUE"""),"WTWH Media ")</f>
        <v>WTWH Media </v>
      </c>
      <c r="I164" s="5" t="str">
        <f>IFERROR(__xludf.DUMMYFUNCTION("""COMPUTED_VALUE"""),"Sales Director")</f>
        <v>Sales Director</v>
      </c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5" t="str">
        <f>IFERROR(__xludf.DUMMYFUNCTION("""COMPUTED_VALUE"""),"TJ")</f>
        <v>TJ</v>
      </c>
      <c r="B165" s="5" t="str">
        <f>IFERROR(__xludf.DUMMYFUNCTION("""COMPUTED_VALUE"""),"Cifuentes")</f>
        <v>Cifuentes</v>
      </c>
      <c r="C165" s="43" t="str">
        <f>IFERROR(__xludf.DUMMYFUNCTION("""COMPUTED_VALUE"""),"(513) 594-3094")</f>
        <v>(513) 594-3094</v>
      </c>
      <c r="D165" s="13" t="str">
        <f>IFERROR(__xludf.DUMMYFUNCTION("""COMPUTED_VALUE"""),"Tjcifuentes23@gmail.com")</f>
        <v>Tjcifuentes23@gmail.com</v>
      </c>
      <c r="E165" s="5">
        <f>IFERROR(__xludf.DUMMYFUNCTION("""COMPUTED_VALUE"""),2020.0)</f>
        <v>2020</v>
      </c>
      <c r="F165" s="7" t="str">
        <f>IFERROR(__xludf.DUMMYFUNCTION("""COMPUTED_VALUE"""),"Iota")</f>
        <v>Iota</v>
      </c>
      <c r="G165" s="10" t="str">
        <f>IFERROR(__xludf.DUMMYFUNCTION("""COMPUTED_VALUE"""),"Columbus")</f>
        <v>Columbus</v>
      </c>
      <c r="H165" s="10" t="str">
        <f>IFERROR(__xludf.DUMMYFUNCTION("""COMPUTED_VALUE"""),"Worthington Steel")</f>
        <v>Worthington Steel</v>
      </c>
      <c r="I165" s="10" t="str">
        <f>IFERROR(__xludf.DUMMYFUNCTION("""COMPUTED_VALUE"""),"Supply Chain Analyst")</f>
        <v>Supply Chain Analyst</v>
      </c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28" t="str">
        <f>IFERROR(__xludf.DUMMYFUNCTION("""COMPUTED_VALUE"""),"Stephanie")</f>
        <v>Stephanie</v>
      </c>
      <c r="B166" s="24" t="str">
        <f>IFERROR(__xludf.DUMMYFUNCTION("""COMPUTED_VALUE"""),"Gowin")</f>
        <v>Gowin</v>
      </c>
      <c r="C166" s="43" t="str">
        <f>IFERROR(__xludf.DUMMYFUNCTION("""COMPUTED_VALUE"""),"(330) 317-3684")</f>
        <v>(330) 317-3684</v>
      </c>
      <c r="D166" s="25" t="str">
        <f>IFERROR(__xludf.DUMMYFUNCTION("""COMPUTED_VALUE"""),"Gowinstephanie@yahoo.com")</f>
        <v>Gowinstephanie@yahoo.com</v>
      </c>
      <c r="E166" s="24">
        <f>IFERROR(__xludf.DUMMYFUNCTION("""COMPUTED_VALUE"""),2020.0)</f>
        <v>2020</v>
      </c>
      <c r="F166" s="24" t="str">
        <f>IFERROR(__xludf.DUMMYFUNCTION("""COMPUTED_VALUE"""),"Theta")</f>
        <v>Theta</v>
      </c>
      <c r="G166" s="24" t="str">
        <f>IFERROR(__xludf.DUMMYFUNCTION("""COMPUTED_VALUE"""),"Columbus")</f>
        <v>Columbus</v>
      </c>
      <c r="H166" s="24" t="str">
        <f>IFERROR(__xludf.DUMMYFUNCTION("""COMPUTED_VALUE"""),"Cameron Mitchell Restaurants")</f>
        <v>Cameron Mitchell Restaurants</v>
      </c>
      <c r="I166" s="24" t="str">
        <f>IFERROR(__xludf.DUMMYFUNCTION("""COMPUTED_VALUE"""),"Payroll Coordinator")</f>
        <v>Payroll Coordinator</v>
      </c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5" t="str">
        <f>IFERROR(__xludf.DUMMYFUNCTION("""COMPUTED_VALUE"""),"Shannon")</f>
        <v>Shannon</v>
      </c>
      <c r="B167" s="5" t="str">
        <f>IFERROR(__xludf.DUMMYFUNCTION("""COMPUTED_VALUE"""),"Sloan")</f>
        <v>Sloan</v>
      </c>
      <c r="C167" s="43" t="str">
        <f>IFERROR(__xludf.DUMMYFUNCTION("""COMPUTED_VALUE"""),"(614) 302-3704")</f>
        <v>(614) 302-3704</v>
      </c>
      <c r="D167" s="5" t="str">
        <f>IFERROR(__xludf.DUMMYFUNCTION("""COMPUTED_VALUE"""),"spauline109@gmail.com")</f>
        <v>spauline109@gmail.com</v>
      </c>
      <c r="E167" s="5">
        <f>IFERROR(__xludf.DUMMYFUNCTION("""COMPUTED_VALUE"""),2020.0)</f>
        <v>2020</v>
      </c>
      <c r="F167" s="7" t="str">
        <f>IFERROR(__xludf.DUMMYFUNCTION("""COMPUTED_VALUE"""),"Kappa")</f>
        <v>Kappa</v>
      </c>
      <c r="G167" s="5" t="str">
        <f>IFERROR(__xludf.DUMMYFUNCTION("""COMPUTED_VALUE"""),"Columbus")</f>
        <v>Columbus</v>
      </c>
      <c r="H167" s="5" t="str">
        <f>IFERROR(__xludf.DUMMYFUNCTION("""COMPUTED_VALUE"""),"RSM US LLP")</f>
        <v>RSM US LLP</v>
      </c>
      <c r="I167" s="5" t="str">
        <f>IFERROR(__xludf.DUMMYFUNCTION("""COMPUTED_VALUE"""),"Assurance Associate")</f>
        <v>Assurance Associate</v>
      </c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5" t="str">
        <f>IFERROR(__xludf.DUMMYFUNCTION("""COMPUTED_VALUE"""),"Gitu")</f>
        <v>Gitu</v>
      </c>
      <c r="B168" s="5" t="str">
        <f>IFERROR(__xludf.DUMMYFUNCTION("""COMPUTED_VALUE"""),"Ajay")</f>
        <v>Ajay</v>
      </c>
      <c r="C168" s="43" t="str">
        <f>IFERROR(__xludf.DUMMYFUNCTION("""COMPUTED_VALUE"""),"(510) 579-9105")</f>
        <v>(510) 579-9105</v>
      </c>
      <c r="D168" s="5" t="str">
        <f>IFERROR(__xludf.DUMMYFUNCTION("""COMPUTED_VALUE"""),"gitu.apm@gmail.com")</f>
        <v>gitu.apm@gmail.com</v>
      </c>
      <c r="E168" s="5">
        <f>IFERROR(__xludf.DUMMYFUNCTION("""COMPUTED_VALUE"""),2020.0)</f>
        <v>2020</v>
      </c>
      <c r="F168" s="7" t="str">
        <f>IFERROR(__xludf.DUMMYFUNCTION("""COMPUTED_VALUE"""),"Iota")</f>
        <v>Iota</v>
      </c>
      <c r="G168" s="5" t="str">
        <f>IFERROR(__xludf.DUMMYFUNCTION("""COMPUTED_VALUE"""),"Dallas")</f>
        <v>Dallas</v>
      </c>
      <c r="H168" s="5" t="str">
        <f>IFERROR(__xludf.DUMMYFUNCTION("""COMPUTED_VALUE"""),"American Airlines")</f>
        <v>American Airlines</v>
      </c>
      <c r="I168" s="5" t="str">
        <f>IFERROR(__xludf.DUMMYFUNCTION("""COMPUTED_VALUE"""),"Senior Analyst")</f>
        <v>Senior Analyst</v>
      </c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24" t="str">
        <f>IFERROR(__xludf.DUMMYFUNCTION("""COMPUTED_VALUE"""),"Micah")</f>
        <v>Micah</v>
      </c>
      <c r="B169" s="24" t="str">
        <f>IFERROR(__xludf.DUMMYFUNCTION("""COMPUTED_VALUE"""),"Miller")</f>
        <v>Miller</v>
      </c>
      <c r="C169" s="43" t="str">
        <f>IFERROR(__xludf.DUMMYFUNCTION("""COMPUTED_VALUE"""),"(614) 596-5474")</f>
        <v>(614) 596-5474</v>
      </c>
      <c r="D169" s="25" t="str">
        <f>IFERROR(__xludf.DUMMYFUNCTION("""COMPUTED_VALUE"""),"miller.8670@osu.edu")</f>
        <v>miller.8670@osu.edu</v>
      </c>
      <c r="E169" s="24">
        <f>IFERROR(__xludf.DUMMYFUNCTION("""COMPUTED_VALUE"""),2020.0)</f>
        <v>2020</v>
      </c>
      <c r="F169" s="12" t="str">
        <f>IFERROR(__xludf.DUMMYFUNCTION("""COMPUTED_VALUE"""),"Iota")</f>
        <v>Iota</v>
      </c>
      <c r="G169" s="24" t="str">
        <f>IFERROR(__xludf.DUMMYFUNCTION("""COMPUTED_VALUE"""),"Durham, NC")</f>
        <v>Durham, NC</v>
      </c>
      <c r="H169" s="24" t="str">
        <f>IFERROR(__xludf.DUMMYFUNCTION("""COMPUTED_VALUE"""),"Fidelity Investments")</f>
        <v>Fidelity Investments</v>
      </c>
      <c r="I169" s="24" t="str">
        <f>IFERROR(__xludf.DUMMYFUNCTION("""COMPUTED_VALUE"""),"Investment Consultant")</f>
        <v>Investment Consultant</v>
      </c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5" t="str">
        <f>IFERROR(__xludf.DUMMYFUNCTION("""COMPUTED_VALUE"""),"Nicole")</f>
        <v>Nicole</v>
      </c>
      <c r="B170" s="5" t="str">
        <f>IFERROR(__xludf.DUMMYFUNCTION("""COMPUTED_VALUE"""),"Davies")</f>
        <v>Davies</v>
      </c>
      <c r="C170" s="43" t="str">
        <f>IFERROR(__xludf.DUMMYFUNCTION("""COMPUTED_VALUE"""),"(440) 773-3314")</f>
        <v>(440) 773-3314</v>
      </c>
      <c r="D170" s="5" t="str">
        <f>IFERROR(__xludf.DUMMYFUNCTION("""COMPUTED_VALUE"""),"nicole_m_davies@yahoo.com")</f>
        <v>nicole_m_davies@yahoo.com</v>
      </c>
      <c r="E170" s="5">
        <f>IFERROR(__xludf.DUMMYFUNCTION("""COMPUTED_VALUE"""),2020.0)</f>
        <v>2020</v>
      </c>
      <c r="F170" s="12" t="str">
        <f>IFERROR(__xludf.DUMMYFUNCTION("""COMPUTED_VALUE"""),"Theta")</f>
        <v>Theta</v>
      </c>
      <c r="G170" s="5" t="str">
        <f>IFERROR(__xludf.DUMMYFUNCTION("""COMPUTED_VALUE"""),"Houston, TX")</f>
        <v>Houston, TX</v>
      </c>
      <c r="H170" s="5" t="str">
        <f>IFERROR(__xludf.DUMMYFUNCTION("""COMPUTED_VALUE"""),"Locke Lord LLP")</f>
        <v>Locke Lord LLP</v>
      </c>
      <c r="I170" s="5" t="str">
        <f>IFERROR(__xludf.DUMMYFUNCTION("""COMPUTED_VALUE"""),"Corporate/Mergers &amp; Acquisitions Associate Attornery")</f>
        <v>Corporate/Mergers &amp; Acquisitions Associate Attornery</v>
      </c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24" t="str">
        <f>IFERROR(__xludf.DUMMYFUNCTION("""COMPUTED_VALUE"""),"Eric")</f>
        <v>Eric</v>
      </c>
      <c r="B171" s="24" t="str">
        <f>IFERROR(__xludf.DUMMYFUNCTION("""COMPUTED_VALUE"""),"Sun")</f>
        <v>Sun</v>
      </c>
      <c r="C171" s="43" t="str">
        <f>IFERROR(__xludf.DUMMYFUNCTION("""COMPUTED_VALUE"""),"(614) 561-5098")</f>
        <v>(614) 561-5098</v>
      </c>
      <c r="D171" s="25" t="str">
        <f>IFERROR(__xludf.DUMMYFUNCTION("""COMPUTED_VALUE"""),"Ericsun228@gmail.com")</f>
        <v>Ericsun228@gmail.com</v>
      </c>
      <c r="E171" s="24">
        <f>IFERROR(__xludf.DUMMYFUNCTION("""COMPUTED_VALUE"""),2020.0)</f>
        <v>2020</v>
      </c>
      <c r="F171" s="5" t="str">
        <f>IFERROR(__xludf.DUMMYFUNCTION("""COMPUTED_VALUE"""),"Kappa")</f>
        <v>Kappa</v>
      </c>
      <c r="G171" s="24" t="str">
        <f>IFERROR(__xludf.DUMMYFUNCTION("""COMPUTED_VALUE"""),"Los Angeles ")</f>
        <v>Los Angeles </v>
      </c>
      <c r="H171" s="24" t="str">
        <f>IFERROR(__xludf.DUMMYFUNCTION("""COMPUTED_VALUE"""),"Netflix")</f>
        <v>Netflix</v>
      </c>
      <c r="I171" s="24" t="str">
        <f>IFERROR(__xludf.DUMMYFUNCTION("""COMPUTED_VALUE"""),"Content Programming Strategy Associate")</f>
        <v>Content Programming Strategy Associate</v>
      </c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5" t="str">
        <f>IFERROR(__xludf.DUMMYFUNCTION("""COMPUTED_VALUE"""),"Rachel")</f>
        <v>Rachel</v>
      </c>
      <c r="B172" s="5" t="str">
        <f>IFERROR(__xludf.DUMMYFUNCTION("""COMPUTED_VALUE"""),"Parsons")</f>
        <v>Parsons</v>
      </c>
      <c r="C172" s="43" t="str">
        <f>IFERROR(__xludf.DUMMYFUNCTION("""COMPUTED_VALUE"""),"(440) 413-8521")</f>
        <v>(440) 413-8521</v>
      </c>
      <c r="D172" s="5" t="str">
        <f>IFERROR(__xludf.DUMMYFUNCTION("""COMPUTED_VALUE"""),"ra.goldst@gmail.com")</f>
        <v>ra.goldst@gmail.com</v>
      </c>
      <c r="E172" s="5">
        <f>IFERROR(__xludf.DUMMYFUNCTION("""COMPUTED_VALUE"""),2020.0)</f>
        <v>2020</v>
      </c>
      <c r="F172" s="7" t="str">
        <f>IFERROR(__xludf.DUMMYFUNCTION("""COMPUTED_VALUE"""),"Eta")</f>
        <v>Eta</v>
      </c>
      <c r="G172" s="5" t="str">
        <f>IFERROR(__xludf.DUMMYFUNCTION("""COMPUTED_VALUE"""),"Los Angeles")</f>
        <v>Los Angeles</v>
      </c>
      <c r="H172" s="5" t="str">
        <f>IFERROR(__xludf.DUMMYFUNCTION("""COMPUTED_VALUE"""),"The Wonderful Company")</f>
        <v>The Wonderful Company</v>
      </c>
      <c r="I172" s="5" t="str">
        <f>IFERROR(__xludf.DUMMYFUNCTION("""COMPUTED_VALUE"""),"Learning &amp; Organizational Development Coordinator")</f>
        <v>Learning &amp; Organizational Development Coordinator</v>
      </c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5" t="str">
        <f>IFERROR(__xludf.DUMMYFUNCTION("""COMPUTED_VALUE"""),"Michelle")</f>
        <v>Michelle</v>
      </c>
      <c r="B173" s="5" t="str">
        <f>IFERROR(__xludf.DUMMYFUNCTION("""COMPUTED_VALUE"""),"Hu")</f>
        <v>Hu</v>
      </c>
      <c r="C173" s="43" t="str">
        <f>IFERROR(__xludf.DUMMYFUNCTION("""COMPUTED_VALUE"""),"(614) 937-4216")</f>
        <v>(614) 937-4216</v>
      </c>
      <c r="D173" s="5" t="str">
        <f>IFERROR(__xludf.DUMMYFUNCTION("""COMPUTED_VALUE"""),"michk1993@gmail.com")</f>
        <v>michk1993@gmail.com</v>
      </c>
      <c r="E173" s="5">
        <f>IFERROR(__xludf.DUMMYFUNCTION("""COMPUTED_VALUE"""),2020.0)</f>
        <v>2020</v>
      </c>
      <c r="F173" s="11" t="str">
        <f>IFERROR(__xludf.DUMMYFUNCTION("""COMPUTED_VALUE"""),"Alpha")</f>
        <v>Alpha</v>
      </c>
      <c r="G173" s="5" t="str">
        <f>IFERROR(__xludf.DUMMYFUNCTION("""COMPUTED_VALUE"""),"Los Angeles ")</f>
        <v>Los Angeles </v>
      </c>
      <c r="H173" s="5" t="str">
        <f>IFERROR(__xludf.DUMMYFUNCTION("""COMPUTED_VALUE"""),"Houlihan Lokey")</f>
        <v>Houlihan Lokey</v>
      </c>
      <c r="I173" s="5" t="str">
        <f>IFERROR(__xludf.DUMMYFUNCTION("""COMPUTED_VALUE"""),"Senior Business System Analyst")</f>
        <v>Senior Business System Analyst</v>
      </c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5" t="str">
        <f>IFERROR(__xludf.DUMMYFUNCTION("""COMPUTED_VALUE"""),"Alex")</f>
        <v>Alex</v>
      </c>
      <c r="B174" s="5" t="str">
        <f>IFERROR(__xludf.DUMMYFUNCTION("""COMPUTED_VALUE"""),"Ikezawa")</f>
        <v>Ikezawa</v>
      </c>
      <c r="C174" s="43" t="str">
        <f>IFERROR(__xludf.DUMMYFUNCTION("""COMPUTED_VALUE"""),"(440) 241-8350")</f>
        <v>(440) 241-8350</v>
      </c>
      <c r="D174" s="5" t="str">
        <f>IFERROR(__xludf.DUMMYFUNCTION("""COMPUTED_VALUE"""),"alex.ikezawa@bain.com")</f>
        <v>alex.ikezawa@bain.com</v>
      </c>
      <c r="E174" s="5">
        <f>IFERROR(__xludf.DUMMYFUNCTION("""COMPUTED_VALUE"""),2020.0)</f>
        <v>2020</v>
      </c>
      <c r="F174" s="7" t="str">
        <f>IFERROR(__xludf.DUMMYFUNCTION("""COMPUTED_VALUE"""),"Iota")</f>
        <v>Iota</v>
      </c>
      <c r="G174" s="10" t="str">
        <f>IFERROR(__xludf.DUMMYFUNCTION("""COMPUTED_VALUE"""),"New York")</f>
        <v>New York</v>
      </c>
      <c r="H174" s="10" t="str">
        <f>IFERROR(__xludf.DUMMYFUNCTION("""COMPUTED_VALUE"""),"National Trust for Local News")</f>
        <v>National Trust for Local News</v>
      </c>
      <c r="I174" s="10" t="str">
        <f>IFERROR(__xludf.DUMMYFUNCTION("""COMPUTED_VALUE"""),"Director of Strategy")</f>
        <v>Director of Strategy</v>
      </c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5" t="str">
        <f>IFERROR(__xludf.DUMMYFUNCTION("""COMPUTED_VALUE"""),"Mackenzie")</f>
        <v>Mackenzie</v>
      </c>
      <c r="B175" s="5" t="str">
        <f>IFERROR(__xludf.DUMMYFUNCTION("""COMPUTED_VALUE"""),"Kelly")</f>
        <v>Kelly</v>
      </c>
      <c r="C175" s="43" t="str">
        <f>IFERROR(__xludf.DUMMYFUNCTION("""COMPUTED_VALUE"""),"(631) 487-5224")</f>
        <v>(631) 487-5224</v>
      </c>
      <c r="D175" s="10" t="str">
        <f>IFERROR(__xludf.DUMMYFUNCTION("""COMPUTED_VALUE"""),"Mackenziekelly4@gmail.com")</f>
        <v>Mackenziekelly4@gmail.com</v>
      </c>
      <c r="E175" s="5">
        <f>IFERROR(__xludf.DUMMYFUNCTION("""COMPUTED_VALUE"""),2020.0)</f>
        <v>2020</v>
      </c>
      <c r="F175" s="7" t="str">
        <f>IFERROR(__xludf.DUMMYFUNCTION("""COMPUTED_VALUE"""),"Eta")</f>
        <v>Eta</v>
      </c>
      <c r="G175" s="5" t="str">
        <f>IFERROR(__xludf.DUMMYFUNCTION("""COMPUTED_VALUE"""),"New York")</f>
        <v>New York</v>
      </c>
      <c r="H175" s="5" t="str">
        <f>IFERROR(__xludf.DUMMYFUNCTION("""COMPUTED_VALUE"""),"Lacoste")</f>
        <v>Lacoste</v>
      </c>
      <c r="I175" s="5" t="str">
        <f>IFERROR(__xludf.DUMMYFUNCTION("""COMPUTED_VALUE"""),"Senior Inventory Planner")</f>
        <v>Senior Inventory Planner</v>
      </c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5" t="str">
        <f>IFERROR(__xludf.DUMMYFUNCTION("""COMPUTED_VALUE"""),"Melissa")</f>
        <v>Melissa</v>
      </c>
      <c r="B176" s="5" t="str">
        <f>IFERROR(__xludf.DUMMYFUNCTION("""COMPUTED_VALUE"""),"Liang")</f>
        <v>Liang</v>
      </c>
      <c r="C176" s="44" t="str">
        <f>IFERROR(__xludf.DUMMYFUNCTION("""COMPUTED_VALUE"""),"(1419) 450-1983")</f>
        <v>(1419) 450-1983</v>
      </c>
      <c r="D176" s="10" t="str">
        <f>IFERROR(__xludf.DUMMYFUNCTION("""COMPUTED_VALUE"""),"Melissaliang1@gmail.com")</f>
        <v>Melissaliang1@gmail.com</v>
      </c>
      <c r="E176" s="10">
        <f>IFERROR(__xludf.DUMMYFUNCTION("""COMPUTED_VALUE"""),2020.0)</f>
        <v>2020</v>
      </c>
      <c r="F176" s="7" t="str">
        <f>IFERROR(__xludf.DUMMYFUNCTION("""COMPUTED_VALUE"""),"Iota")</f>
        <v>Iota</v>
      </c>
      <c r="G176" s="10" t="str">
        <f>IFERROR(__xludf.DUMMYFUNCTION("""COMPUTED_VALUE"""),"New York")</f>
        <v>New York</v>
      </c>
      <c r="H176" s="10" t="str">
        <f>IFERROR(__xludf.DUMMYFUNCTION("""COMPUTED_VALUE"""),"PwC")</f>
        <v>PwC</v>
      </c>
      <c r="I176" s="10" t="str">
        <f>IFERROR(__xludf.DUMMYFUNCTION("""COMPUTED_VALUE"""),"M&amp;A Advisory Senior Associate")</f>
        <v>M&amp;A Advisory Senior Associate</v>
      </c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1" t="str">
        <f>IFERROR(__xludf.DUMMYFUNCTION("""COMPUTED_VALUE"""),"Sam")</f>
        <v>Sam</v>
      </c>
      <c r="B177" s="41" t="str">
        <f>IFERROR(__xludf.DUMMYFUNCTION("""COMPUTED_VALUE"""),"Garver")</f>
        <v>Garver</v>
      </c>
      <c r="C177" s="45" t="str">
        <f>IFERROR(__xludf.DUMMYFUNCTION("""COMPUTED_VALUE"""),"(513) 709-9664")</f>
        <v>(513) 709-9664</v>
      </c>
      <c r="D177" s="45" t="str">
        <f>IFERROR(__xludf.DUMMYFUNCTION("""COMPUTED_VALUE"""),"Samgarver12@gmail.com")</f>
        <v>Samgarver12@gmail.com</v>
      </c>
      <c r="E177" s="23">
        <f>IFERROR(__xludf.DUMMYFUNCTION("""COMPUTED_VALUE"""),2020.0)</f>
        <v>2020</v>
      </c>
      <c r="F177" s="41" t="str">
        <f>IFERROR(__xludf.DUMMYFUNCTION("""COMPUTED_VALUE"""),"Eta")</f>
        <v>Eta</v>
      </c>
      <c r="G177" s="41" t="str">
        <f>IFERROR(__xludf.DUMMYFUNCTION("""COMPUTED_VALUE"""),"N/A")</f>
        <v>N/A</v>
      </c>
      <c r="H177" s="41" t="str">
        <f>IFERROR(__xludf.DUMMYFUNCTION("""COMPUTED_VALUE"""),"N/A")</f>
        <v>N/A</v>
      </c>
      <c r="I177" s="41" t="str">
        <f>IFERROR(__xludf.DUMMYFUNCTION("""COMPUTED_VALUE"""),"N/A")</f>
        <v>N/A</v>
      </c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5" t="str">
        <f>IFERROR(__xludf.DUMMYFUNCTION("""COMPUTED_VALUE"""),"Olivia")</f>
        <v>Olivia</v>
      </c>
      <c r="B178" s="5" t="str">
        <f>IFERROR(__xludf.DUMMYFUNCTION("""COMPUTED_VALUE"""),"Johnson")</f>
        <v>Johnson</v>
      </c>
      <c r="C178" s="43" t="str">
        <f>IFERROR(__xludf.DUMMYFUNCTION("""COMPUTED_VALUE"""),"(651) 767-2017")</f>
        <v>(651) 767-2017</v>
      </c>
      <c r="D178" s="5" t="str">
        <f>IFERROR(__xludf.DUMMYFUNCTION("""COMPUTED_VALUE"""),"ojohnson5001@gmail.com")</f>
        <v>ojohnson5001@gmail.com</v>
      </c>
      <c r="E178" s="5">
        <f>IFERROR(__xludf.DUMMYFUNCTION("""COMPUTED_VALUE"""),2020.0)</f>
        <v>2020</v>
      </c>
      <c r="F178" s="7" t="str">
        <f>IFERROR(__xludf.DUMMYFUNCTION("""COMPUTED_VALUE"""),"Theta")</f>
        <v>Theta</v>
      </c>
      <c r="G178" s="5" t="str">
        <f>IFERROR(__xludf.DUMMYFUNCTION("""COMPUTED_VALUE"""),"Boston, MA")</f>
        <v>Boston, MA</v>
      </c>
      <c r="H178" s="5" t="str">
        <f>IFERROR(__xludf.DUMMYFUNCTION("""COMPUTED_VALUE"""),"Amazon")</f>
        <v>Amazon</v>
      </c>
      <c r="I178" s="5" t="str">
        <f>IFERROR(__xludf.DUMMYFUNCTION("""COMPUTED_VALUE"""),"Area Manager II ")</f>
        <v>Area Manager II </v>
      </c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5" t="str">
        <f>IFERROR(__xludf.DUMMYFUNCTION("""COMPUTED_VALUE"""),"Jonathan")</f>
        <v>Jonathan</v>
      </c>
      <c r="B179" s="5" t="str">
        <f>IFERROR(__xludf.DUMMYFUNCTION("""COMPUTED_VALUE"""),"McCollough")</f>
        <v>McCollough</v>
      </c>
      <c r="C179" s="43" t="str">
        <f>IFERROR(__xludf.DUMMYFUNCTION("""COMPUTED_VALUE"""),"(513) 532-2521")</f>
        <v>(513) 532-2521</v>
      </c>
      <c r="D179" s="5" t="str">
        <f>IFERROR(__xludf.DUMMYFUNCTION("""COMPUTED_VALUE"""),"jjmccollough@gmail.com")</f>
        <v>jjmccollough@gmail.com</v>
      </c>
      <c r="E179" s="5">
        <f>IFERROR(__xludf.DUMMYFUNCTION("""COMPUTED_VALUE"""),2021.0)</f>
        <v>2021</v>
      </c>
      <c r="F179" s="7" t="str">
        <f>IFERROR(__xludf.DUMMYFUNCTION("""COMPUTED_VALUE"""),"Iota")</f>
        <v>Iota</v>
      </c>
      <c r="G179" s="5" t="str">
        <f>IFERROR(__xludf.DUMMYFUNCTION("""COMPUTED_VALUE"""),"Boston, MA")</f>
        <v>Boston, MA</v>
      </c>
      <c r="H179" s="5" t="str">
        <f>IFERROR(__xludf.DUMMYFUNCTION("""COMPUTED_VALUE"""),"Red Oak Sourcing (Cardinal Health)")</f>
        <v>Red Oak Sourcing (Cardinal Health)</v>
      </c>
      <c r="I179" s="5" t="str">
        <f>IFERROR(__xludf.DUMMYFUNCTION("""COMPUTED_VALUE"""),"Advisor, Deal Management")</f>
        <v>Advisor, Deal Management</v>
      </c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24" t="str">
        <f>IFERROR(__xludf.DUMMYFUNCTION("""COMPUTED_VALUE"""),"Julia")</f>
        <v>Julia</v>
      </c>
      <c r="B180" s="24" t="str">
        <f>IFERROR(__xludf.DUMMYFUNCTION("""COMPUTED_VALUE"""),"Grant")</f>
        <v>Grant</v>
      </c>
      <c r="C180" s="43" t="str">
        <f>IFERROR(__xludf.DUMMYFUNCTION("""COMPUTED_VALUE"""),"(614) 961-2396")</f>
        <v>(614) 961-2396</v>
      </c>
      <c r="D180" s="25" t="str">
        <f>IFERROR(__xludf.DUMMYFUNCTION("""COMPUTED_VALUE"""),"jlgrant1999@gmail.com")</f>
        <v>jlgrant1999@gmail.com</v>
      </c>
      <c r="E180" s="24">
        <f>IFERROR(__xludf.DUMMYFUNCTION("""COMPUTED_VALUE"""),2021.0)</f>
        <v>2021</v>
      </c>
      <c r="F180" s="24" t="str">
        <f>IFERROR(__xludf.DUMMYFUNCTION("""COMPUTED_VALUE"""),"Kappa")</f>
        <v>Kappa</v>
      </c>
      <c r="G180" s="24" t="str">
        <f>IFERROR(__xludf.DUMMYFUNCTION("""COMPUTED_VALUE"""),"Chicago")</f>
        <v>Chicago</v>
      </c>
      <c r="H180" s="24" t="str">
        <f>IFERROR(__xludf.DUMMYFUNCTION("""COMPUTED_VALUE"""),"PwC")</f>
        <v>PwC</v>
      </c>
      <c r="I180" s="24" t="str">
        <f>IFERROR(__xludf.DUMMYFUNCTION("""COMPUTED_VALUE"""),"Senior Associate")</f>
        <v>Senior Associate</v>
      </c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24" t="str">
        <f>IFERROR(__xludf.DUMMYFUNCTION("""COMPUTED_VALUE"""),"Siena")</f>
        <v>Siena</v>
      </c>
      <c r="B181" s="24" t="str">
        <f>IFERROR(__xludf.DUMMYFUNCTION("""COMPUTED_VALUE"""),"Schuth")</f>
        <v>Schuth</v>
      </c>
      <c r="C181" s="43" t="str">
        <f>IFERROR(__xludf.DUMMYFUNCTION("""COMPUTED_VALUE"""),"(630) 805-1260")</f>
        <v>(630) 805-1260</v>
      </c>
      <c r="D181" s="25" t="str">
        <f>IFERROR(__xludf.DUMMYFUNCTION("""COMPUTED_VALUE"""),"schutsie000@gmail.com")</f>
        <v>schutsie000@gmail.com</v>
      </c>
      <c r="E181" s="24">
        <f>IFERROR(__xludf.DUMMYFUNCTION("""COMPUTED_VALUE"""),2021.0)</f>
        <v>2021</v>
      </c>
      <c r="F181" s="12" t="str">
        <f>IFERROR(__xludf.DUMMYFUNCTION("""COMPUTED_VALUE"""),"Lambda")</f>
        <v>Lambda</v>
      </c>
      <c r="G181" s="24" t="str">
        <f>IFERROR(__xludf.DUMMYFUNCTION("""COMPUTED_VALUE"""),"Chicago")</f>
        <v>Chicago</v>
      </c>
      <c r="H181" s="24" t="str">
        <f>IFERROR(__xludf.DUMMYFUNCTION("""COMPUTED_VALUE"""),"Morgan/Harbour Construction")</f>
        <v>Morgan/Harbour Construction</v>
      </c>
      <c r="I181" s="24" t="str">
        <f>IFERROR(__xludf.DUMMYFUNCTION("""COMPUTED_VALUE"""),"Senior Project Accountant")</f>
        <v>Senior Project Accountant</v>
      </c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5" t="str">
        <f>IFERROR(__xludf.DUMMYFUNCTION("""COMPUTED_VALUE"""),"Johnny")</f>
        <v>Johnny</v>
      </c>
      <c r="B182" s="5" t="str">
        <f>IFERROR(__xludf.DUMMYFUNCTION("""COMPUTED_VALUE"""),"Velotta")</f>
        <v>Velotta</v>
      </c>
      <c r="C182" s="43" t="str">
        <f>IFERROR(__xludf.DUMMYFUNCTION("""COMPUTED_VALUE"""),"(216) 406-3099")</f>
        <v>(216) 406-3099</v>
      </c>
      <c r="D182" s="5" t="str">
        <f>IFERROR(__xludf.DUMMYFUNCTION("""COMPUTED_VALUE"""),"velotta.14@osu.edu")</f>
        <v>velotta.14@osu.edu</v>
      </c>
      <c r="E182" s="5">
        <f>IFERROR(__xludf.DUMMYFUNCTION("""COMPUTED_VALUE"""),2021.0)</f>
        <v>2021</v>
      </c>
      <c r="F182" s="7" t="str">
        <f>IFERROR(__xludf.DUMMYFUNCTION("""COMPUTED_VALUE"""),"Kappa")</f>
        <v>Kappa</v>
      </c>
      <c r="G182" s="10" t="str">
        <f>IFERROR(__xludf.DUMMYFUNCTION("""COMPUTED_VALUE"""),"Chicago")</f>
        <v>Chicago</v>
      </c>
      <c r="H182" s="10"/>
      <c r="I182" s="10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24" t="str">
        <f>IFERROR(__xludf.DUMMYFUNCTION("""COMPUTED_VALUE"""),"Duy Khanh")</f>
        <v>Duy Khanh</v>
      </c>
      <c r="B183" s="24" t="str">
        <f>IFERROR(__xludf.DUMMYFUNCTION("""COMPUTED_VALUE"""),"Trinh")</f>
        <v>Trinh</v>
      </c>
      <c r="C183" s="43" t="str">
        <f>IFERROR(__xludf.DUMMYFUNCTION("""COMPUTED_VALUE"""),"(318) 541-3838")</f>
        <v>(318) 541-3838</v>
      </c>
      <c r="D183" s="25" t="str">
        <f>IFERROR(__xludf.DUMMYFUNCTION("""COMPUTED_VALUE"""),"dkhanh10@gmail.com")</f>
        <v>dkhanh10@gmail.com</v>
      </c>
      <c r="E183" s="24">
        <f>IFERROR(__xludf.DUMMYFUNCTION("""COMPUTED_VALUE"""),2021.0)</f>
        <v>2021</v>
      </c>
      <c r="F183" s="5" t="str">
        <f>IFERROR(__xludf.DUMMYFUNCTION("""COMPUTED_VALUE"""),"Kappa")</f>
        <v>Kappa</v>
      </c>
      <c r="G183" s="24" t="str">
        <f>IFERROR(__xludf.DUMMYFUNCTION("""COMPUTED_VALUE"""),"Cincinnati")</f>
        <v>Cincinnati</v>
      </c>
      <c r="H183" s="24" t="str">
        <f>IFERROR(__xludf.DUMMYFUNCTION("""COMPUTED_VALUE"""),"GE Aerospace")</f>
        <v>GE Aerospace</v>
      </c>
      <c r="I183" s="24" t="str">
        <f>IFERROR(__xludf.DUMMYFUNCTION("""COMPUTED_VALUE"""),"Operational Finance Leadership Program")</f>
        <v>Operational Finance Leadership Program</v>
      </c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24" t="str">
        <f>IFERROR(__xludf.DUMMYFUNCTION("""COMPUTED_VALUE"""),"Hailey")</f>
        <v>Hailey</v>
      </c>
      <c r="B184" s="24" t="str">
        <f>IFERROR(__xludf.DUMMYFUNCTION("""COMPUTED_VALUE"""),"Donato")</f>
        <v>Donato</v>
      </c>
      <c r="C184" s="43" t="str">
        <f>IFERROR(__xludf.DUMMYFUNCTION("""COMPUTED_VALUE"""),"(216) 633-6063")</f>
        <v>(216) 633-6063</v>
      </c>
      <c r="D184" s="25" t="str">
        <f>IFERROR(__xludf.DUMMYFUNCTION("""COMPUTED_VALUE"""),"haileydonato@yahoo.com")</f>
        <v>haileydonato@yahoo.com</v>
      </c>
      <c r="E184" s="24">
        <f>IFERROR(__xludf.DUMMYFUNCTION("""COMPUTED_VALUE"""),2021.0)</f>
        <v>2021</v>
      </c>
      <c r="F184" s="5" t="str">
        <f>IFERROR(__xludf.DUMMYFUNCTION("""COMPUTED_VALUE"""),"Lambda")</f>
        <v>Lambda</v>
      </c>
      <c r="G184" s="24" t="str">
        <f>IFERROR(__xludf.DUMMYFUNCTION("""COMPUTED_VALUE"""),"Cleveland")</f>
        <v>Cleveland</v>
      </c>
      <c r="H184" s="24" t="str">
        <f>IFERROR(__xludf.DUMMYFUNCTION("""COMPUTED_VALUE"""),"Acuity Brands")</f>
        <v>Acuity Brands</v>
      </c>
      <c r="I184" s="24" t="str">
        <f>IFERROR(__xludf.DUMMYFUNCTION("""COMPUTED_VALUE"""),"Human Reource Analyst")</f>
        <v>Human Reource Analyst</v>
      </c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5" t="str">
        <f>IFERROR(__xludf.DUMMYFUNCTION("""COMPUTED_VALUE"""),"Nick")</f>
        <v>Nick</v>
      </c>
      <c r="B185" s="5" t="str">
        <f>IFERROR(__xludf.DUMMYFUNCTION("""COMPUTED_VALUE"""),"Childs")</f>
        <v>Childs</v>
      </c>
      <c r="C185" s="43" t="str">
        <f>IFERROR(__xludf.DUMMYFUNCTION("""COMPUTED_VALUE"""),"(330) 998-3294")</f>
        <v>(330) 998-3294</v>
      </c>
      <c r="D185" s="5" t="str">
        <f>IFERROR(__xludf.DUMMYFUNCTION("""COMPUTED_VALUE"""),"childs.146@osu.edu")</f>
        <v>childs.146@osu.edu</v>
      </c>
      <c r="E185" s="5">
        <f>IFERROR(__xludf.DUMMYFUNCTION("""COMPUTED_VALUE"""),2021.0)</f>
        <v>2021</v>
      </c>
      <c r="F185" s="11" t="str">
        <f>IFERROR(__xludf.DUMMYFUNCTION("""COMPUTED_VALUE"""),"Kappa")</f>
        <v>Kappa</v>
      </c>
      <c r="G185" s="5" t="str">
        <f>IFERROR(__xludf.DUMMYFUNCTION("""COMPUTED_VALUE"""),"Columbus")</f>
        <v>Columbus</v>
      </c>
      <c r="H185" s="5"/>
      <c r="I185" s="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24" t="str">
        <f>IFERROR(__xludf.DUMMYFUNCTION("""COMPUTED_VALUE"""),"Lindsay")</f>
        <v>Lindsay</v>
      </c>
      <c r="B186" s="24" t="str">
        <f>IFERROR(__xludf.DUMMYFUNCTION("""COMPUTED_VALUE"""),"Tacy")</f>
        <v>Tacy</v>
      </c>
      <c r="C186" s="43" t="str">
        <f>IFERROR(__xludf.DUMMYFUNCTION("""COMPUTED_VALUE"""),"(513) 582-5589")</f>
        <v>(513) 582-5589</v>
      </c>
      <c r="D186" s="25" t="str">
        <f>IFERROR(__xludf.DUMMYFUNCTION("""COMPUTED_VALUE"""),"Lmtacy@gmail.com")</f>
        <v>Lmtacy@gmail.com</v>
      </c>
      <c r="E186" s="24">
        <f>IFERROR(__xludf.DUMMYFUNCTION("""COMPUTED_VALUE"""),2021.0)</f>
        <v>2021</v>
      </c>
      <c r="F186" s="5" t="str">
        <f>IFERROR(__xludf.DUMMYFUNCTION("""COMPUTED_VALUE"""),"Lambda")</f>
        <v>Lambda</v>
      </c>
      <c r="G186" s="24" t="str">
        <f>IFERROR(__xludf.DUMMYFUNCTION("""COMPUTED_VALUE"""),"Columbus")</f>
        <v>Columbus</v>
      </c>
      <c r="H186" s="24" t="str">
        <f>IFERROR(__xludf.DUMMYFUNCTION("""COMPUTED_VALUE"""),"Nisource")</f>
        <v>Nisource</v>
      </c>
      <c r="I186" s="24" t="str">
        <f>IFERROR(__xludf.DUMMYFUNCTION("""COMPUTED_VALUE"""),"Financial Planning Analyst")</f>
        <v>Financial Planning Analyst</v>
      </c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24" t="str">
        <f>IFERROR(__xludf.DUMMYFUNCTION("""COMPUTED_VALUE"""),"Katie")</f>
        <v>Katie</v>
      </c>
      <c r="B187" s="24" t="str">
        <f>IFERROR(__xludf.DUMMYFUNCTION("""COMPUTED_VALUE"""),"Kennard")</f>
        <v>Kennard</v>
      </c>
      <c r="C187" s="43" t="str">
        <f>IFERROR(__xludf.DUMMYFUNCTION("""COMPUTED_VALUE"""),"(614) 787-4177")</f>
        <v>(614) 787-4177</v>
      </c>
      <c r="D187" s="25" t="str">
        <f>IFERROR(__xludf.DUMMYFUNCTION("""COMPUTED_VALUE"""),"Katherine.e.kennard@gmail.com")</f>
        <v>Katherine.e.kennard@gmail.com</v>
      </c>
      <c r="E187" s="24">
        <f>IFERROR(__xludf.DUMMYFUNCTION("""COMPUTED_VALUE"""),2021.0)</f>
        <v>2021</v>
      </c>
      <c r="F187" s="5" t="str">
        <f>IFERROR(__xludf.DUMMYFUNCTION("""COMPUTED_VALUE"""),"Lambda")</f>
        <v>Lambda</v>
      </c>
      <c r="G187" s="24" t="str">
        <f>IFERROR(__xludf.DUMMYFUNCTION("""COMPUTED_VALUE"""),"Dublin, OH")</f>
        <v>Dublin, OH</v>
      </c>
      <c r="H187" s="24" t="str">
        <f>IFERROR(__xludf.DUMMYFUNCTION("""COMPUTED_VALUE"""),"JP Morgan Chase")</f>
        <v>JP Morgan Chase</v>
      </c>
      <c r="I187" s="24" t="str">
        <f>IFERROR(__xludf.DUMMYFUNCTION("""COMPUTED_VALUE"""),"Vice President of Product Market Strategy")</f>
        <v>Vice President of Product Market Strategy</v>
      </c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5" t="str">
        <f>IFERROR(__xludf.DUMMYFUNCTION("""COMPUTED_VALUE"""),"Vrushali")</f>
        <v>Vrushali</v>
      </c>
      <c r="B188" s="5" t="str">
        <f>IFERROR(__xludf.DUMMYFUNCTION("""COMPUTED_VALUE"""),"Borde")</f>
        <v>Borde</v>
      </c>
      <c r="C188" s="43" t="str">
        <f>IFERROR(__xludf.DUMMYFUNCTION("""COMPUTED_VALUE"""),"(614) 440-8715")</f>
        <v>(614) 440-8715</v>
      </c>
      <c r="D188" s="5" t="str">
        <f>IFERROR(__xludf.DUMMYFUNCTION("""COMPUTED_VALUE"""),"Vrush.Borde@gmail.com")</f>
        <v>Vrush.Borde@gmail.com</v>
      </c>
      <c r="E188" s="5">
        <f>IFERROR(__xludf.DUMMYFUNCTION("""COMPUTED_VALUE"""),2021.0)</f>
        <v>2021</v>
      </c>
      <c r="F188" s="7" t="str">
        <f>IFERROR(__xludf.DUMMYFUNCTION("""COMPUTED_VALUE"""),"Iota")</f>
        <v>Iota</v>
      </c>
      <c r="G188" s="5" t="str">
        <f>IFERROR(__xludf.DUMMYFUNCTION("""COMPUTED_VALUE"""),"Miami")</f>
        <v>Miami</v>
      </c>
      <c r="H188" s="5" t="str">
        <f>IFERROR(__xludf.DUMMYFUNCTION("""COMPUTED_VALUE"""),"Accenture")</f>
        <v>Accenture</v>
      </c>
      <c r="I188" s="5" t="str">
        <f>IFERROR(__xludf.DUMMYFUNCTION("""COMPUTED_VALUE"""),"Senior Consulting Analyst")</f>
        <v>Senior Consulting Analyst</v>
      </c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24" t="str">
        <f>IFERROR(__xludf.DUMMYFUNCTION("""COMPUTED_VALUE"""),"Aurora")</f>
        <v>Aurora</v>
      </c>
      <c r="B189" s="24" t="str">
        <f>IFERROR(__xludf.DUMMYFUNCTION("""COMPUTED_VALUE"""),"Fleming")</f>
        <v>Fleming</v>
      </c>
      <c r="C189" s="43" t="str">
        <f>IFERROR(__xludf.DUMMYFUNCTION("""COMPUTED_VALUE"""),"(440) 865-1224")</f>
        <v>(440) 865-1224</v>
      </c>
      <c r="D189" s="25" t="str">
        <f>IFERROR(__xludf.DUMMYFUNCTION("""COMPUTED_VALUE"""),"aurorafleming@gmail.com")</f>
        <v>aurorafleming@gmail.com</v>
      </c>
      <c r="E189" s="24">
        <f>IFERROR(__xludf.DUMMYFUNCTION("""COMPUTED_VALUE"""),2021.0)</f>
        <v>2021</v>
      </c>
      <c r="F189" s="5" t="str">
        <f>IFERROR(__xludf.DUMMYFUNCTION("""COMPUTED_VALUE"""),"Lambda")</f>
        <v>Lambda</v>
      </c>
      <c r="G189" s="24" t="str">
        <f>IFERROR(__xludf.DUMMYFUNCTION("""COMPUTED_VALUE"""),"Nashville")</f>
        <v>Nashville</v>
      </c>
      <c r="H189" s="24" t="str">
        <f>IFERROR(__xludf.DUMMYFUNCTION("""COMPUTED_VALUE"""),"Vanderbilt University")</f>
        <v>Vanderbilt University</v>
      </c>
      <c r="I189" s="24" t="str">
        <f>IFERROR(__xludf.DUMMYFUNCTION("""COMPUTED_VALUE"""),"Graduate Student")</f>
        <v>Graduate Student</v>
      </c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5" t="str">
        <f>IFERROR(__xludf.DUMMYFUNCTION("""COMPUTED_VALUE"""),"Abby")</f>
        <v>Abby</v>
      </c>
      <c r="B190" s="5" t="str">
        <f>IFERROR(__xludf.DUMMYFUNCTION("""COMPUTED_VALUE"""),"Marks")</f>
        <v>Marks</v>
      </c>
      <c r="C190" s="43" t="str">
        <f>IFERROR(__xludf.DUMMYFUNCTION("""COMPUTED_VALUE"""),"(216) 870-7037")</f>
        <v>(216) 870-7037</v>
      </c>
      <c r="D190" s="5" t="str">
        <f>IFERROR(__xludf.DUMMYFUNCTION("""COMPUTED_VALUE"""),"abbysmarks@gmail.com")</f>
        <v>abbysmarks@gmail.com</v>
      </c>
      <c r="E190" s="5">
        <f>IFERROR(__xludf.DUMMYFUNCTION("""COMPUTED_VALUE"""),2021.0)</f>
        <v>2021</v>
      </c>
      <c r="F190" s="7" t="str">
        <f>IFERROR(__xludf.DUMMYFUNCTION("""COMPUTED_VALUE"""),"Iota")</f>
        <v>Iota</v>
      </c>
      <c r="G190" s="5" t="str">
        <f>IFERROR(__xludf.DUMMYFUNCTION("""COMPUTED_VALUE"""),"New York")</f>
        <v>New York</v>
      </c>
      <c r="H190" s="5" t="str">
        <f>IFERROR(__xludf.DUMMYFUNCTION("""COMPUTED_VALUE"""),"Sumitomo Mitsui Banking Corparation")</f>
        <v>Sumitomo Mitsui Banking Corparation</v>
      </c>
      <c r="I190" s="5" t="str">
        <f>IFERROR(__xludf.DUMMYFUNCTION("""COMPUTED_VALUE"""),"Subscription Secured Finance Analyst")</f>
        <v>Subscription Secured Finance Analyst</v>
      </c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24" t="str">
        <f>IFERROR(__xludf.DUMMYFUNCTION("""COMPUTED_VALUE"""),"Evan")</f>
        <v>Evan</v>
      </c>
      <c r="B191" s="24" t="str">
        <f>IFERROR(__xludf.DUMMYFUNCTION("""COMPUTED_VALUE"""),"Ross")</f>
        <v>Ross</v>
      </c>
      <c r="C191" s="43" t="str">
        <f>IFERROR(__xludf.DUMMYFUNCTION("""COMPUTED_VALUE"""),"(516) 319-2713")</f>
        <v>(516) 319-2713</v>
      </c>
      <c r="D191" s="25" t="str">
        <f>IFERROR(__xludf.DUMMYFUNCTION("""COMPUTED_VALUE"""),"ross.1489@osu.edu")</f>
        <v>ross.1489@osu.edu</v>
      </c>
      <c r="E191" s="24">
        <f>IFERROR(__xludf.DUMMYFUNCTION("""COMPUTED_VALUE"""),2021.0)</f>
        <v>2021</v>
      </c>
      <c r="F191" s="5" t="str">
        <f>IFERROR(__xludf.DUMMYFUNCTION("""COMPUTED_VALUE"""),"Lambda")</f>
        <v>Lambda</v>
      </c>
      <c r="G191" s="24" t="str">
        <f>IFERROR(__xludf.DUMMYFUNCTION("""COMPUTED_VALUE"""),"New York")</f>
        <v>New York</v>
      </c>
      <c r="H191" s="24" t="str">
        <f>IFERROR(__xludf.DUMMYFUNCTION("""COMPUTED_VALUE"""),"Sage Realty Corporation")</f>
        <v>Sage Realty Corporation</v>
      </c>
      <c r="I191" s="24" t="str">
        <f>IFERROR(__xludf.DUMMYFUNCTION("""COMPUTED_VALUE"""),"Senior Asset Management Associate")</f>
        <v>Senior Asset Management Associate</v>
      </c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5" t="str">
        <f>IFERROR(__xludf.DUMMYFUNCTION("""COMPUTED_VALUE"""),"Henry")</f>
        <v>Henry</v>
      </c>
      <c r="B192" s="5" t="str">
        <f>IFERROR(__xludf.DUMMYFUNCTION("""COMPUTED_VALUE"""),"Wong")</f>
        <v>Wong</v>
      </c>
      <c r="C192" s="43" t="str">
        <f>IFERROR(__xludf.DUMMYFUNCTION("""COMPUTED_VALUE"""),"(937) 414-3165")</f>
        <v>(937) 414-3165</v>
      </c>
      <c r="D192" s="5" t="str">
        <f>IFERROR(__xludf.DUMMYFUNCTION("""COMPUTED_VALUE"""),"wong.777@osu.edu")</f>
        <v>wong.777@osu.edu</v>
      </c>
      <c r="E192" s="5">
        <f>IFERROR(__xludf.DUMMYFUNCTION("""COMPUTED_VALUE"""),2021.0)</f>
        <v>2021</v>
      </c>
      <c r="F192" s="12" t="str">
        <f>IFERROR(__xludf.DUMMYFUNCTION("""COMPUTED_VALUE"""),"Mu")</f>
        <v>Mu</v>
      </c>
      <c r="G192" s="5" t="str">
        <f>IFERROR(__xludf.DUMMYFUNCTION("""COMPUTED_VALUE"""),"New York")</f>
        <v>New York</v>
      </c>
      <c r="H192" s="5" t="str">
        <f>IFERROR(__xludf.DUMMYFUNCTION("""COMPUTED_VALUE"""),"Crowe")</f>
        <v>Crowe</v>
      </c>
      <c r="I192" s="5" t="str">
        <f>IFERROR(__xludf.DUMMYFUNCTION("""COMPUTED_VALUE"""),"Senior Manufacturing and Distribution Consultant")</f>
        <v>Senior Manufacturing and Distribution Consultant</v>
      </c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5" t="str">
        <f>IFERROR(__xludf.DUMMYFUNCTION("""COMPUTED_VALUE"""),"Kensey")</f>
        <v>Kensey</v>
      </c>
      <c r="B193" s="5" t="str">
        <f>IFERROR(__xludf.DUMMYFUNCTION("""COMPUTED_VALUE"""),"Gianettino")</f>
        <v>Gianettino</v>
      </c>
      <c r="C193" s="43" t="str">
        <f>IFERROR(__xludf.DUMMYFUNCTION("""COMPUTED_VALUE"""),"(614) 725-6755")</f>
        <v>(614) 725-6755</v>
      </c>
      <c r="D193" s="5" t="str">
        <f>IFERROR(__xludf.DUMMYFUNCTION("""COMPUTED_VALUE"""),"kenseyg8@gmail.com")</f>
        <v>kenseyg8@gmail.com</v>
      </c>
      <c r="E193" s="5">
        <f>IFERROR(__xludf.DUMMYFUNCTION("""COMPUTED_VALUE"""),2021.0)</f>
        <v>2021</v>
      </c>
      <c r="F193" s="7" t="str">
        <f>IFERROR(__xludf.DUMMYFUNCTION("""COMPUTED_VALUE"""),"Lambda")</f>
        <v>Lambda</v>
      </c>
      <c r="G193" s="5" t="str">
        <f>IFERROR(__xludf.DUMMYFUNCTION("""COMPUTED_VALUE"""),"Reynoldsburg, OH")</f>
        <v>Reynoldsburg, OH</v>
      </c>
      <c r="H193" s="5" t="str">
        <f>IFERROR(__xludf.DUMMYFUNCTION("""COMPUTED_VALUE"""),"Chick-fil-a")</f>
        <v>Chick-fil-a</v>
      </c>
      <c r="I193" s="5" t="str">
        <f>IFERROR(__xludf.DUMMYFUNCTION("""COMPUTED_VALUE"""),"Director of Leadership Development")</f>
        <v>Director of Leadership Development</v>
      </c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5" t="str">
        <f>IFERROR(__xludf.DUMMYFUNCTION("""COMPUTED_VALUE"""),"Tyler")</f>
        <v>Tyler</v>
      </c>
      <c r="B194" s="5" t="str">
        <f>IFERROR(__xludf.DUMMYFUNCTION("""COMPUTED_VALUE"""),"Brown")</f>
        <v>Brown</v>
      </c>
      <c r="C194" s="43" t="str">
        <f>IFERROR(__xludf.DUMMYFUNCTION("""COMPUTED_VALUE"""),"(614) 499-1064")</f>
        <v>(614) 499-1064</v>
      </c>
      <c r="D194" s="5" t="str">
        <f>IFERROR(__xludf.DUMMYFUNCTION("""COMPUTED_VALUE"""),"browntyler1315@gmail.com")</f>
        <v>browntyler1315@gmail.com</v>
      </c>
      <c r="E194" s="5">
        <f>IFERROR(__xludf.DUMMYFUNCTION("""COMPUTED_VALUE"""),2021.0)</f>
        <v>2021</v>
      </c>
      <c r="F194" s="7" t="str">
        <f>IFERROR(__xludf.DUMMYFUNCTION("""COMPUTED_VALUE"""),"Iota")</f>
        <v>Iota</v>
      </c>
      <c r="G194" s="5" t="str">
        <f>IFERROR(__xludf.DUMMYFUNCTION("""COMPUTED_VALUE"""),"San Francisco")</f>
        <v>San Francisco</v>
      </c>
      <c r="H194" s="5" t="str">
        <f>IFERROR(__xludf.DUMMYFUNCTION("""COMPUTED_VALUE"""),"Crowe LLP")</f>
        <v>Crowe LLP</v>
      </c>
      <c r="I194" s="5" t="str">
        <f>IFERROR(__xludf.DUMMYFUNCTION("""COMPUTED_VALUE"""),"Audit Senior Associate")</f>
        <v>Audit Senior Associate</v>
      </c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5" t="str">
        <f>IFERROR(__xludf.DUMMYFUNCTION("""COMPUTED_VALUE"""),"Caitlyn")</f>
        <v>Caitlyn</v>
      </c>
      <c r="B195" s="5" t="str">
        <f>IFERROR(__xludf.DUMMYFUNCTION("""COMPUTED_VALUE"""),"Villamaria")</f>
        <v>Villamaria</v>
      </c>
      <c r="C195" s="43" t="str">
        <f>IFERROR(__xludf.DUMMYFUNCTION("""COMPUTED_VALUE"""),"(231) 690-1129")</f>
        <v>(231) 690-1129</v>
      </c>
      <c r="D195" s="5" t="str">
        <f>IFERROR(__xludf.DUMMYFUNCTION("""COMPUTED_VALUE"""),"caitlynvillamaria@gmail.com")</f>
        <v>caitlynvillamaria@gmail.com</v>
      </c>
      <c r="E195" s="5">
        <f>IFERROR(__xludf.DUMMYFUNCTION("""COMPUTED_VALUE"""),2021.0)</f>
        <v>2021</v>
      </c>
      <c r="F195" s="7" t="str">
        <f>IFERROR(__xludf.DUMMYFUNCTION("""COMPUTED_VALUE"""),"Mu")</f>
        <v>Mu</v>
      </c>
      <c r="G195" s="5" t="str">
        <f>IFERROR(__xludf.DUMMYFUNCTION("""COMPUTED_VALUE"""),"San Francisco")</f>
        <v>San Francisco</v>
      </c>
      <c r="H195" s="5" t="str">
        <f>IFERROR(__xludf.DUMMYFUNCTION("""COMPUTED_VALUE"""),"JP Morgan")</f>
        <v>JP Morgan</v>
      </c>
      <c r="I195" s="5" t="str">
        <f>IFERROR(__xludf.DUMMYFUNCTION("""COMPUTED_VALUE"""),"Associate")</f>
        <v>Associate</v>
      </c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24" t="str">
        <f>IFERROR(__xludf.DUMMYFUNCTION("""COMPUTED_VALUE"""),"Hanna")</f>
        <v>Hanna</v>
      </c>
      <c r="B196" s="24" t="str">
        <f>IFERROR(__xludf.DUMMYFUNCTION("""COMPUTED_VALUE"""),"Stolzer")</f>
        <v>Stolzer</v>
      </c>
      <c r="C196" s="43" t="str">
        <f>IFERROR(__xludf.DUMMYFUNCTION("""COMPUTED_VALUE"""),"(216) 401-5202")</f>
        <v>(216) 401-5202</v>
      </c>
      <c r="D196" s="25" t="str">
        <f>IFERROR(__xludf.DUMMYFUNCTION("""COMPUTED_VALUE"""),"Hannarstolzer@gmail.com")</f>
        <v>Hannarstolzer@gmail.com</v>
      </c>
      <c r="E196" s="24">
        <f>IFERROR(__xludf.DUMMYFUNCTION("""COMPUTED_VALUE"""),2021.0)</f>
        <v>2021</v>
      </c>
      <c r="F196" s="5" t="str">
        <f>IFERROR(__xludf.DUMMYFUNCTION("""COMPUTED_VALUE"""),"Lambda")</f>
        <v>Lambda</v>
      </c>
      <c r="G196" s="24" t="str">
        <f>IFERROR(__xludf.DUMMYFUNCTION("""COMPUTED_VALUE"""),"Washington DC")</f>
        <v>Washington DC</v>
      </c>
      <c r="H196" s="24" t="str">
        <f>IFERROR(__xludf.DUMMYFUNCTION("""COMPUTED_VALUE"""),"ACLU")</f>
        <v>ACLU</v>
      </c>
      <c r="I196" s="24" t="str">
        <f>IFERROR(__xludf.DUMMYFUNCTION("""COMPUTED_VALUE"""),"Social Media Manager")</f>
        <v>Social Media Manager</v>
      </c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5" t="str">
        <f>IFERROR(__xludf.DUMMYFUNCTION("""COMPUTED_VALUE"""),"Cassi")</f>
        <v>Cassi</v>
      </c>
      <c r="B197" s="5" t="str">
        <f>IFERROR(__xludf.DUMMYFUNCTION("""COMPUTED_VALUE"""),"Kehres")</f>
        <v>Kehres</v>
      </c>
      <c r="C197" s="43" t="str">
        <f>IFERROR(__xludf.DUMMYFUNCTION("""COMPUTED_VALUE"""),"(513) 518-9585")</f>
        <v>(513) 518-9585</v>
      </c>
      <c r="D197" s="5" t="str">
        <f>IFERROR(__xludf.DUMMYFUNCTION("""COMPUTED_VALUE"""),"kehres.42@osu.edu")</f>
        <v>kehres.42@osu.edu</v>
      </c>
      <c r="E197" s="5">
        <f>IFERROR(__xludf.DUMMYFUNCTION("""COMPUTED_VALUE"""),2021.0)</f>
        <v>2021</v>
      </c>
      <c r="F197" s="11" t="str">
        <f>IFERROR(__xludf.DUMMYFUNCTION("""COMPUTED_VALUE"""),"Kappa")</f>
        <v>Kappa</v>
      </c>
      <c r="G197" s="5" t="str">
        <f>IFERROR(__xludf.DUMMYFUNCTION("""COMPUTED_VALUE"""),"Wilmington, NC")</f>
        <v>Wilmington, NC</v>
      </c>
      <c r="H197" s="5" t="str">
        <f>IFERROR(__xludf.DUMMYFUNCTION("""COMPUTED_VALUE"""),"Thermo Fisher Scientific")</f>
        <v>Thermo Fisher Scientific</v>
      </c>
      <c r="I197" s="5" t="str">
        <f>IFERROR(__xludf.DUMMYFUNCTION("""COMPUTED_VALUE"""),"Financial Analyst III")</f>
        <v>Financial Analyst III</v>
      </c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24" t="str">
        <f>IFERROR(__xludf.DUMMYFUNCTION("""COMPUTED_VALUE"""),"Mitchel")</f>
        <v>Mitchel</v>
      </c>
      <c r="B198" s="24" t="str">
        <f>IFERROR(__xludf.DUMMYFUNCTION("""COMPUTED_VALUE"""),"Lutz")</f>
        <v>Lutz</v>
      </c>
      <c r="C198" s="43" t="str">
        <f>IFERROR(__xludf.DUMMYFUNCTION("""COMPUTED_VALUE"""),"(513) 562-7704")</f>
        <v>(513) 562-7704</v>
      </c>
      <c r="D198" s="25" t="str">
        <f>IFERROR(__xludf.DUMMYFUNCTION("""COMPUTED_VALUE"""),"mitchlutz9@gmail.com")</f>
        <v>mitchlutz9@gmail.com</v>
      </c>
      <c r="E198" s="24">
        <f>IFERROR(__xludf.DUMMYFUNCTION("""COMPUTED_VALUE"""),2022.0)</f>
        <v>2022</v>
      </c>
      <c r="F198" s="24" t="str">
        <f>IFERROR(__xludf.DUMMYFUNCTION("""COMPUTED_VALUE"""),"Nu")</f>
        <v>Nu</v>
      </c>
      <c r="G198" s="24" t="str">
        <f>IFERROR(__xludf.DUMMYFUNCTION("""COMPUTED_VALUE"""),"Austin, TX")</f>
        <v>Austin, TX</v>
      </c>
      <c r="H198" s="24" t="str">
        <f>IFERROR(__xludf.DUMMYFUNCTION("""COMPUTED_VALUE"""),"Duck Camp")</f>
        <v>Duck Camp</v>
      </c>
      <c r="I198" s="24" t="str">
        <f>IFERROR(__xludf.DUMMYFUNCTION("""COMPUTED_VALUE"""),"Associate Product Developer")</f>
        <v>Associate Product Developer</v>
      </c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5" t="str">
        <f>IFERROR(__xludf.DUMMYFUNCTION("""COMPUTED_VALUE"""),"Alyssa")</f>
        <v>Alyssa</v>
      </c>
      <c r="B199" s="5" t="str">
        <f>IFERROR(__xludf.DUMMYFUNCTION("""COMPUTED_VALUE"""),"Behrend")</f>
        <v>Behrend</v>
      </c>
      <c r="C199" s="43" t="str">
        <f>IFERROR(__xludf.DUMMYFUNCTION("""COMPUTED_VALUE"""),"(440) 867-6778")</f>
        <v>(440) 867-6778</v>
      </c>
      <c r="D199" s="5" t="str">
        <f>IFERROR(__xludf.DUMMYFUNCTION("""COMPUTED_VALUE"""),"behrendal@outlook.com")</f>
        <v>behrendal@outlook.com</v>
      </c>
      <c r="E199" s="5">
        <f>IFERROR(__xludf.DUMMYFUNCTION("""COMPUTED_VALUE"""),2022.0)</f>
        <v>2022</v>
      </c>
      <c r="F199" s="7" t="str">
        <f>IFERROR(__xludf.DUMMYFUNCTION("""COMPUTED_VALUE"""),"Omicron")</f>
        <v>Omicron</v>
      </c>
      <c r="G199" s="5" t="str">
        <f>IFERROR(__xludf.DUMMYFUNCTION("""COMPUTED_VALUE"""),"Chicago")</f>
        <v>Chicago</v>
      </c>
      <c r="H199" s="5" t="str">
        <f>IFERROR(__xludf.DUMMYFUNCTION("""COMPUTED_VALUE"""),"Kraft Heinz Not Company")</f>
        <v>Kraft Heinz Not Company</v>
      </c>
      <c r="I199" s="5" t="str">
        <f>IFERROR(__xludf.DUMMYFUNCTION("""COMPUTED_VALUE"""),"Senior Sales Analyst")</f>
        <v>Senior Sales Analyst</v>
      </c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24" t="str">
        <f>IFERROR(__xludf.DUMMYFUNCTION("""COMPUTED_VALUE"""),"Richard")</f>
        <v>Richard</v>
      </c>
      <c r="B200" s="24" t="str">
        <f>IFERROR(__xludf.DUMMYFUNCTION("""COMPUTED_VALUE"""),"Camp")</f>
        <v>Camp</v>
      </c>
      <c r="C200" s="43" t="str">
        <f>IFERROR(__xludf.DUMMYFUNCTION("""COMPUTED_VALUE"""),"(440) 417-6625")</f>
        <v>(440) 417-6625</v>
      </c>
      <c r="D200" s="25" t="str">
        <f>IFERROR(__xludf.DUMMYFUNCTION("""COMPUTED_VALUE"""),"Richardfcamp@gmail.com")</f>
        <v>Richardfcamp@gmail.com</v>
      </c>
      <c r="E200" s="24">
        <f>IFERROR(__xludf.DUMMYFUNCTION("""COMPUTED_VALUE"""),2022.0)</f>
        <v>2022</v>
      </c>
      <c r="F200" s="5" t="str">
        <f>IFERROR(__xludf.DUMMYFUNCTION("""COMPUTED_VALUE"""),"Mu")</f>
        <v>Mu</v>
      </c>
      <c r="G200" s="24" t="str">
        <f>IFERROR(__xludf.DUMMYFUNCTION("""COMPUTED_VALUE"""),"Columbus")</f>
        <v>Columbus</v>
      </c>
      <c r="H200" s="24" t="str">
        <f>IFERROR(__xludf.DUMMYFUNCTION("""COMPUTED_VALUE"""),"PwC")</f>
        <v>PwC</v>
      </c>
      <c r="I200" s="24" t="str">
        <f>IFERROR(__xludf.DUMMYFUNCTION("""COMPUTED_VALUE"""),"Associate Consultant")</f>
        <v>Associate Consultant</v>
      </c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24" t="str">
        <f>IFERROR(__xludf.DUMMYFUNCTION("""COMPUTED_VALUE"""),"Evan")</f>
        <v>Evan</v>
      </c>
      <c r="B201" s="24" t="str">
        <f>IFERROR(__xludf.DUMMYFUNCTION("""COMPUTED_VALUE"""),"Howe")</f>
        <v>Howe</v>
      </c>
      <c r="C201" s="43" t="str">
        <f>IFERROR(__xludf.DUMMYFUNCTION("""COMPUTED_VALUE"""),"(267) 907-6579")</f>
        <v>(267) 907-6579</v>
      </c>
      <c r="D201" s="25" t="str">
        <f>IFERROR(__xludf.DUMMYFUNCTION("""COMPUTED_VALUE"""),"evanrhowe@yahoo.com")</f>
        <v>evanrhowe@yahoo.com</v>
      </c>
      <c r="E201" s="24">
        <f>IFERROR(__xludf.DUMMYFUNCTION("""COMPUTED_VALUE"""),2022.0)</f>
        <v>2022</v>
      </c>
      <c r="F201" s="5" t="str">
        <f>IFERROR(__xludf.DUMMYFUNCTION("""COMPUTED_VALUE"""),"Lambda")</f>
        <v>Lambda</v>
      </c>
      <c r="G201" s="24" t="str">
        <f>IFERROR(__xludf.DUMMYFUNCTION("""COMPUTED_VALUE"""),"Chicago")</f>
        <v>Chicago</v>
      </c>
      <c r="H201" s="24" t="str">
        <f>IFERROR(__xludf.DUMMYFUNCTION("""COMPUTED_VALUE"""),"Havas Media Network")</f>
        <v>Havas Media Network</v>
      </c>
      <c r="I201" s="24" t="str">
        <f>IFERROR(__xludf.DUMMYFUNCTION("""COMPUTED_VALUE"""),"Buyer, Digital Investment")</f>
        <v>Buyer, Digital Investment</v>
      </c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5" t="str">
        <f>IFERROR(__xludf.DUMMYFUNCTION("""COMPUTED_VALUE"""),"Kate")</f>
        <v>Kate</v>
      </c>
      <c r="B202" s="5" t="str">
        <f>IFERROR(__xludf.DUMMYFUNCTION("""COMPUTED_VALUE"""),"McCarthy")</f>
        <v>McCarthy</v>
      </c>
      <c r="C202" s="43" t="str">
        <f>IFERROR(__xludf.DUMMYFUNCTION("""COMPUTED_VALUE"""),"(513) 442-9760")</f>
        <v>(513) 442-9760</v>
      </c>
      <c r="D202" s="5" t="str">
        <f>IFERROR(__xludf.DUMMYFUNCTION("""COMPUTED_VALUE"""),"Kate.mccarthy0101@gmail.com")</f>
        <v>Kate.mccarthy0101@gmail.com</v>
      </c>
      <c r="E202" s="5">
        <f>IFERROR(__xludf.DUMMYFUNCTION("""COMPUTED_VALUE"""),2022.0)</f>
        <v>2022</v>
      </c>
      <c r="F202" s="7" t="str">
        <f>IFERROR(__xludf.DUMMYFUNCTION("""COMPUTED_VALUE"""),"Nu")</f>
        <v>Nu</v>
      </c>
      <c r="G202" s="5" t="str">
        <f>IFERROR(__xludf.DUMMYFUNCTION("""COMPUTED_VALUE"""),"Chicago")</f>
        <v>Chicago</v>
      </c>
      <c r="H202" s="5" t="str">
        <f>IFERROR(__xludf.DUMMYFUNCTION("""COMPUTED_VALUE"""),"Capgemini")</f>
        <v>Capgemini</v>
      </c>
      <c r="I202" s="5" t="str">
        <f>IFERROR(__xludf.DUMMYFUNCTION("""COMPUTED_VALUE"""),"Associate consultant")</f>
        <v>Associate consultant</v>
      </c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5" t="str">
        <f>IFERROR(__xludf.DUMMYFUNCTION("""COMPUTED_VALUE"""),"Natalie")</f>
        <v>Natalie</v>
      </c>
      <c r="B203" s="5" t="str">
        <f>IFERROR(__xludf.DUMMYFUNCTION("""COMPUTED_VALUE"""),"Moore")</f>
        <v>Moore</v>
      </c>
      <c r="C203" s="43" t="str">
        <f>IFERROR(__xludf.DUMMYFUNCTION("""COMPUTED_VALUE"""),"(440) 452-0877")</f>
        <v>(440) 452-0877</v>
      </c>
      <c r="D203" s="5" t="str">
        <f>IFERROR(__xludf.DUMMYFUNCTION("""COMPUTED_VALUE"""),"nataliemoore5@hotmail.com")</f>
        <v>nataliemoore5@hotmail.com</v>
      </c>
      <c r="E203" s="5">
        <f>IFERROR(__xludf.DUMMYFUNCTION("""COMPUTED_VALUE"""),2022.0)</f>
        <v>2022</v>
      </c>
      <c r="F203" s="7" t="str">
        <f>IFERROR(__xludf.DUMMYFUNCTION("""COMPUTED_VALUE"""),"Nu")</f>
        <v>Nu</v>
      </c>
      <c r="G203" s="5" t="str">
        <f>IFERROR(__xludf.DUMMYFUNCTION("""COMPUTED_VALUE"""),"Chicago")</f>
        <v>Chicago</v>
      </c>
      <c r="H203" s="5" t="str">
        <f>IFERROR(__xludf.DUMMYFUNCTION("""COMPUTED_VALUE"""),"Cision")</f>
        <v>Cision</v>
      </c>
      <c r="I203" s="5" t="str">
        <f>IFERROR(__xludf.DUMMYFUNCTION("""COMPUTED_VALUE"""),"Account Manager")</f>
        <v>Account Manager</v>
      </c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5" t="str">
        <f>IFERROR(__xludf.DUMMYFUNCTION("""COMPUTED_VALUE"""),"Ritika")</f>
        <v>Ritika</v>
      </c>
      <c r="B204" s="5" t="str">
        <f>IFERROR(__xludf.DUMMYFUNCTION("""COMPUTED_VALUE"""),"Reddy")</f>
        <v>Reddy</v>
      </c>
      <c r="C204" s="43" t="str">
        <f>IFERROR(__xludf.DUMMYFUNCTION("""COMPUTED_VALUE"""),"(304) 919-5670")</f>
        <v>(304) 919-5670</v>
      </c>
      <c r="D204" s="13" t="str">
        <f>IFERROR(__xludf.DUMMYFUNCTION("""COMPUTED_VALUE"""),"ritikareddy77@gmail.com")</f>
        <v>ritikareddy77@gmail.com</v>
      </c>
      <c r="E204" s="5">
        <f>IFERROR(__xludf.DUMMYFUNCTION("""COMPUTED_VALUE"""),2022.0)</f>
        <v>2022</v>
      </c>
      <c r="F204" s="12" t="str">
        <f>IFERROR(__xludf.DUMMYFUNCTION("""COMPUTED_VALUE"""),"Xi")</f>
        <v>Xi</v>
      </c>
      <c r="G204" s="5" t="str">
        <f>IFERROR(__xludf.DUMMYFUNCTION("""COMPUTED_VALUE"""),"Chicago")</f>
        <v>Chicago</v>
      </c>
      <c r="H204" s="5" t="str">
        <f>IFERROR(__xludf.DUMMYFUNCTION("""COMPUTED_VALUE"""),"LaSalle Investment Management")</f>
        <v>LaSalle Investment Management</v>
      </c>
      <c r="I204" s="5" t="str">
        <f>IFERROR(__xludf.DUMMYFUNCTION("""COMPUTED_VALUE"""),"Audit and Assurance Senior")</f>
        <v>Audit and Assurance Senior</v>
      </c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24" t="str">
        <f>IFERROR(__xludf.DUMMYFUNCTION("""COMPUTED_VALUE"""),"JT")</f>
        <v>JT</v>
      </c>
      <c r="B205" s="24" t="str">
        <f>IFERROR(__xludf.DUMMYFUNCTION("""COMPUTED_VALUE"""),"Daniel")</f>
        <v>Daniel</v>
      </c>
      <c r="C205" s="43" t="str">
        <f>IFERROR(__xludf.DUMMYFUNCTION("""COMPUTED_VALUE"""),"(419) 913-6046")</f>
        <v>(419) 913-6046</v>
      </c>
      <c r="D205" s="25" t="str">
        <f>IFERROR(__xludf.DUMMYFUNCTION("""COMPUTED_VALUE"""),"Jtdaniel7@gmail.com")</f>
        <v>Jtdaniel7@gmail.com</v>
      </c>
      <c r="E205" s="24">
        <f>IFERROR(__xludf.DUMMYFUNCTION("""COMPUTED_VALUE"""),2022.0)</f>
        <v>2022</v>
      </c>
      <c r="F205" s="5" t="str">
        <f>IFERROR(__xludf.DUMMYFUNCTION("""COMPUTED_VALUE"""),"Lambda")</f>
        <v>Lambda</v>
      </c>
      <c r="G205" s="24" t="str">
        <f>IFERROR(__xludf.DUMMYFUNCTION("""COMPUTED_VALUE"""),"Cleveland")</f>
        <v>Cleveland</v>
      </c>
      <c r="H205" s="30" t="str">
        <f>IFERROR(__xludf.DUMMYFUNCTION("""COMPUTED_VALUE"""),"S&amp;D Capital Financial Advisors")</f>
        <v>S&amp;D Capital Financial Advisors</v>
      </c>
      <c r="I205" s="30" t="str">
        <f>IFERROR(__xludf.DUMMYFUNCTION("""COMPUTED_VALUE"""),"Controller")</f>
        <v>Controller</v>
      </c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24" t="str">
        <f>IFERROR(__xludf.DUMMYFUNCTION("""COMPUTED_VALUE"""),"Natalie")</f>
        <v>Natalie</v>
      </c>
      <c r="B206" s="24" t="str">
        <f>IFERROR(__xludf.DUMMYFUNCTION("""COMPUTED_VALUE"""),"Fioritto")</f>
        <v>Fioritto</v>
      </c>
      <c r="C206" s="43" t="str">
        <f>IFERROR(__xludf.DUMMYFUNCTION("""COMPUTED_VALUE"""),"(440) 855-7169")</f>
        <v>(440) 855-7169</v>
      </c>
      <c r="D206" s="25" t="str">
        <f>IFERROR(__xludf.DUMMYFUNCTION("""COMPUTED_VALUE"""),"Nataliefioritto@gmail.com")</f>
        <v>Nataliefioritto@gmail.com</v>
      </c>
      <c r="E206" s="24">
        <f>IFERROR(__xludf.DUMMYFUNCTION("""COMPUTED_VALUE"""),2022.0)</f>
        <v>2022</v>
      </c>
      <c r="F206" s="5" t="str">
        <f>IFERROR(__xludf.DUMMYFUNCTION("""COMPUTED_VALUE"""),"Mu")</f>
        <v>Mu</v>
      </c>
      <c r="G206" s="24" t="str">
        <f>IFERROR(__xludf.DUMMYFUNCTION("""COMPUTED_VALUE"""),"Cleveland")</f>
        <v>Cleveland</v>
      </c>
      <c r="H206" s="24" t="str">
        <f>IFERROR(__xludf.DUMMYFUNCTION("""COMPUTED_VALUE"""),"JM Smucker")</f>
        <v>JM Smucker</v>
      </c>
      <c r="I206" s="24" t="str">
        <f>IFERROR(__xludf.DUMMYFUNCTION("""COMPUTED_VALUE"""),"Associate Sourcing Manager")</f>
        <v>Associate Sourcing Manager</v>
      </c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5" t="str">
        <f>IFERROR(__xludf.DUMMYFUNCTION("""COMPUTED_VALUE"""),"Erika")</f>
        <v>Erika</v>
      </c>
      <c r="B207" s="5" t="str">
        <f>IFERROR(__xludf.DUMMYFUNCTION("""COMPUTED_VALUE"""),"Petersen")</f>
        <v>Petersen</v>
      </c>
      <c r="C207" s="43" t="str">
        <f>IFERROR(__xludf.DUMMYFUNCTION("""COMPUTED_VALUE"""),"(440) 665-3220")</f>
        <v>(440) 665-3220</v>
      </c>
      <c r="D207" s="13" t="str">
        <f>IFERROR(__xludf.DUMMYFUNCTION("""COMPUTED_VALUE"""),"erikapetersen6@gmail.com")</f>
        <v>erikapetersen6@gmail.com</v>
      </c>
      <c r="E207" s="5">
        <f>IFERROR(__xludf.DUMMYFUNCTION("""COMPUTED_VALUE"""),2022.0)</f>
        <v>2022</v>
      </c>
      <c r="F207" s="5" t="str">
        <f>IFERROR(__xludf.DUMMYFUNCTION("""COMPUTED_VALUE"""),"Nu")</f>
        <v>Nu</v>
      </c>
      <c r="G207" s="5" t="str">
        <f>IFERROR(__xludf.DUMMYFUNCTION("""COMPUTED_VALUE"""),"Cleveland")</f>
        <v>Cleveland</v>
      </c>
      <c r="H207" s="5" t="str">
        <f>IFERROR(__xludf.DUMMYFUNCTION("""COMPUTED_VALUE"""),"Avaap")</f>
        <v>Avaap</v>
      </c>
      <c r="I207" s="5" t="str">
        <f>IFERROR(__xludf.DUMMYFUNCTION("""COMPUTED_VALUE"""),"Organizational Change Management Consultant")</f>
        <v>Organizational Change Management Consultant</v>
      </c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5" t="str">
        <f>IFERROR(__xludf.DUMMYFUNCTION("""COMPUTED_VALUE"""),"RC")</f>
        <v>RC</v>
      </c>
      <c r="B208" s="5" t="str">
        <f>IFERROR(__xludf.DUMMYFUNCTION("""COMPUTED_VALUE"""),"Brandes")</f>
        <v>Brandes</v>
      </c>
      <c r="C208" s="43" t="str">
        <f>IFERROR(__xludf.DUMMYFUNCTION("""COMPUTED_VALUE"""),"(614) 949-9157")</f>
        <v>(614) 949-9157</v>
      </c>
      <c r="D208" s="5" t="str">
        <f>IFERROR(__xludf.DUMMYFUNCTION("""COMPUTED_VALUE"""),"rcbrandes5@gmail.com")</f>
        <v>rcbrandes5@gmail.com</v>
      </c>
      <c r="E208" s="5">
        <f>IFERROR(__xludf.DUMMYFUNCTION("""COMPUTED_VALUE"""),2022.0)</f>
        <v>2022</v>
      </c>
      <c r="F208" s="7" t="str">
        <f>IFERROR(__xludf.DUMMYFUNCTION("""COMPUTED_VALUE"""),"Nu")</f>
        <v>Nu</v>
      </c>
      <c r="G208" s="5" t="str">
        <f>IFERROR(__xludf.DUMMYFUNCTION("""COMPUTED_VALUE"""),"Columbus")</f>
        <v>Columbus</v>
      </c>
      <c r="H208" s="5" t="str">
        <f>IFERROR(__xludf.DUMMYFUNCTION("""COMPUTED_VALUE"""),"Abercrombie &amp; Fitch Co.")</f>
        <v>Abercrombie &amp; Fitch Co.</v>
      </c>
      <c r="I208" s="5" t="str">
        <f>IFERROR(__xludf.DUMMYFUNCTION("""COMPUTED_VALUE"""),"Assistant Merchandise Planner")</f>
        <v>Assistant Merchandise Planner</v>
      </c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5" t="str">
        <f>IFERROR(__xludf.DUMMYFUNCTION("""COMPUTED_VALUE"""),"Michael")</f>
        <v>Michael</v>
      </c>
      <c r="B209" s="5" t="str">
        <f>IFERROR(__xludf.DUMMYFUNCTION("""COMPUTED_VALUE"""),"Fox")</f>
        <v>Fox</v>
      </c>
      <c r="C209" s="43" t="str">
        <f>IFERROR(__xludf.DUMMYFUNCTION("""COMPUTED_VALUE"""),"(216) 410-7879")</f>
        <v>(216) 410-7879</v>
      </c>
      <c r="D209" s="5" t="str">
        <f>IFERROR(__xludf.DUMMYFUNCTION("""COMPUTED_VALUE"""),"Mfox0724@gmail.com")</f>
        <v>Mfox0724@gmail.com</v>
      </c>
      <c r="E209" s="5">
        <f>IFERROR(__xludf.DUMMYFUNCTION("""COMPUTED_VALUE"""),2022.0)</f>
        <v>2022</v>
      </c>
      <c r="F209" s="11" t="str">
        <f>IFERROR(__xludf.DUMMYFUNCTION("""COMPUTED_VALUE"""),"Mu")</f>
        <v>Mu</v>
      </c>
      <c r="G209" s="5" t="str">
        <f>IFERROR(__xludf.DUMMYFUNCTION("""COMPUTED_VALUE"""),"Columbus")</f>
        <v>Columbus</v>
      </c>
      <c r="H209" s="5" t="str">
        <f>IFERROR(__xludf.DUMMYFUNCTION("""COMPUTED_VALUE"""),"JP Morgan Chase")</f>
        <v>JP Morgan Chase</v>
      </c>
      <c r="I209" s="5" t="str">
        <f>IFERROR(__xludf.DUMMYFUNCTION("""COMPUTED_VALUE"""),"GFBM Analyst")</f>
        <v>GFBM Analyst</v>
      </c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5" t="str">
        <f>IFERROR(__xludf.DUMMYFUNCTION("""COMPUTED_VALUE"""),"Charlotte")</f>
        <v>Charlotte</v>
      </c>
      <c r="B210" s="5" t="str">
        <f>IFERROR(__xludf.DUMMYFUNCTION("""COMPUTED_VALUE"""),"Kane")</f>
        <v>Kane</v>
      </c>
      <c r="C210" s="43" t="str">
        <f>IFERROR(__xludf.DUMMYFUNCTION("""COMPUTED_VALUE"""),"(330) 861-8183")</f>
        <v>(330) 861-8183</v>
      </c>
      <c r="D210" s="5" t="str">
        <f>IFERROR(__xludf.DUMMYFUNCTION("""COMPUTED_VALUE"""),"charkane24@gmail.com")</f>
        <v>charkane24@gmail.com</v>
      </c>
      <c r="E210" s="5">
        <f>IFERROR(__xludf.DUMMYFUNCTION("""COMPUTED_VALUE"""),2022.0)</f>
        <v>2022</v>
      </c>
      <c r="F210" s="7" t="str">
        <f>IFERROR(__xludf.DUMMYFUNCTION("""COMPUTED_VALUE"""),"Omicron")</f>
        <v>Omicron</v>
      </c>
      <c r="G210" s="5" t="str">
        <f>IFERROR(__xludf.DUMMYFUNCTION("""COMPUTED_VALUE"""),"Columbus")</f>
        <v>Columbus</v>
      </c>
      <c r="H210" s="5" t="str">
        <f>IFERROR(__xludf.DUMMYFUNCTION("""COMPUTED_VALUE"""),"Law Student")</f>
        <v>Law Student</v>
      </c>
      <c r="I210" s="5" t="str">
        <f>IFERROR(__xludf.DUMMYFUNCTION("""COMPUTED_VALUE"""),"Moritz College of Law, The Ohio State University")</f>
        <v>Moritz College of Law, The Ohio State University</v>
      </c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1" t="str">
        <f>IFERROR(__xludf.DUMMYFUNCTION("""COMPUTED_VALUE"""),"Ryan")</f>
        <v>Ryan</v>
      </c>
      <c r="B211" s="41" t="str">
        <f>IFERROR(__xludf.DUMMYFUNCTION("""COMPUTED_VALUE"""),"Menchey")</f>
        <v>Menchey</v>
      </c>
      <c r="C211" s="45" t="str">
        <f>IFERROR(__xludf.DUMMYFUNCTION("""COMPUTED_VALUE"""),"(717) 885-6699")</f>
        <v>(717) 885-6699</v>
      </c>
      <c r="D211" s="45" t="str">
        <f>IFERROR(__xludf.DUMMYFUNCTION("""COMPUTED_VALUE"""),"mencheyryan@gmail.com")</f>
        <v>mencheyryan@gmail.com</v>
      </c>
      <c r="E211" s="41">
        <f>IFERROR(__xludf.DUMMYFUNCTION("""COMPUTED_VALUE"""),2022.0)</f>
        <v>2022</v>
      </c>
      <c r="F211" s="41" t="str">
        <f>IFERROR(__xludf.DUMMYFUNCTION("""COMPUTED_VALUE"""),"Xi")</f>
        <v>Xi</v>
      </c>
      <c r="G211" s="41" t="str">
        <f>IFERROR(__xludf.DUMMYFUNCTION("""COMPUTED_VALUE"""),"Columbus")</f>
        <v>Columbus</v>
      </c>
      <c r="H211" s="45" t="str">
        <f>IFERROR(__xludf.DUMMYFUNCTION("""COMPUTED_VALUE"""),"Under Armour")</f>
        <v>Under Armour</v>
      </c>
      <c r="I211" s="45" t="str">
        <f>IFERROR(__xludf.DUMMYFUNCTION("""COMPUTED_VALUE"""),"Sales &amp; Operations")</f>
        <v>Sales &amp; Operations</v>
      </c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24" t="str">
        <f>IFERROR(__xludf.DUMMYFUNCTION("""COMPUTED_VALUE"""),"Stephanie")</f>
        <v>Stephanie</v>
      </c>
      <c r="B212" s="24" t="str">
        <f>IFERROR(__xludf.DUMMYFUNCTION("""COMPUTED_VALUE"""),"Morris")</f>
        <v>Morris</v>
      </c>
      <c r="C212" s="43" t="str">
        <f>IFERROR(__xludf.DUMMYFUNCTION("""COMPUTED_VALUE"""),"(949) 878-6901")</f>
        <v>(949) 878-6901</v>
      </c>
      <c r="D212" s="25" t="str">
        <f>IFERROR(__xludf.DUMMYFUNCTION("""COMPUTED_VALUE"""),"stephaniemorris101@gmail.com")</f>
        <v>stephaniemorris101@gmail.com</v>
      </c>
      <c r="E212" s="24">
        <f>IFERROR(__xludf.DUMMYFUNCTION("""COMPUTED_VALUE"""),2022.0)</f>
        <v>2022</v>
      </c>
      <c r="F212" s="5" t="str">
        <f>IFERROR(__xludf.DUMMYFUNCTION("""COMPUTED_VALUE"""),"Lambda")</f>
        <v>Lambda</v>
      </c>
      <c r="G212" s="24" t="str">
        <f>IFERROR(__xludf.DUMMYFUNCTION("""COMPUTED_VALUE"""),"Columbus")</f>
        <v>Columbus</v>
      </c>
      <c r="H212" s="24" t="str">
        <f>IFERROR(__xludf.DUMMYFUNCTION("""COMPUTED_VALUE"""),"Colliers")</f>
        <v>Colliers</v>
      </c>
      <c r="I212" s="24" t="str">
        <f>IFERROR(__xludf.DUMMYFUNCTION("""COMPUTED_VALUE"""),"Senior Research Analyst")</f>
        <v>Senior Research Analyst</v>
      </c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24" t="str">
        <f>IFERROR(__xludf.DUMMYFUNCTION("""COMPUTED_VALUE"""),"Daniel")</f>
        <v>Daniel</v>
      </c>
      <c r="B213" s="24" t="str">
        <f>IFERROR(__xludf.DUMMYFUNCTION("""COMPUTED_VALUE"""),"Roth")</f>
        <v>Roth</v>
      </c>
      <c r="C213" s="43" t="str">
        <f>IFERROR(__xludf.DUMMYFUNCTION("""COMPUTED_VALUE"""),"(413) 805-5180")</f>
        <v>(413) 805-5180</v>
      </c>
      <c r="D213" s="25" t="str">
        <f>IFERROR(__xludf.DUMMYFUNCTION("""COMPUTED_VALUE"""),"daniel.roth.604@gmail.com")</f>
        <v>daniel.roth.604@gmail.com</v>
      </c>
      <c r="E213" s="24">
        <f>IFERROR(__xludf.DUMMYFUNCTION("""COMPUTED_VALUE"""),2022.0)</f>
        <v>2022</v>
      </c>
      <c r="F213" s="5" t="str">
        <f>IFERROR(__xludf.DUMMYFUNCTION("""COMPUTED_VALUE"""),"Lambda")</f>
        <v>Lambda</v>
      </c>
      <c r="G213" s="24" t="str">
        <f>IFERROR(__xludf.DUMMYFUNCTION("""COMPUTED_VALUE"""),"Columbus")</f>
        <v>Columbus</v>
      </c>
      <c r="H213" s="24" t="str">
        <f>IFERROR(__xludf.DUMMYFUNCTION("""COMPUTED_VALUE"""),"Medline")</f>
        <v>Medline</v>
      </c>
      <c r="I213" s="24" t="str">
        <f>IFERROR(__xludf.DUMMYFUNCTION("""COMPUTED_VALUE"""),"Associate Product Manager")</f>
        <v>Associate Product Manager</v>
      </c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5" t="str">
        <f>IFERROR(__xludf.DUMMYFUNCTION("""COMPUTED_VALUE"""),"Annmarie")</f>
        <v>Annmarie</v>
      </c>
      <c r="B214" s="5" t="str">
        <f>IFERROR(__xludf.DUMMYFUNCTION("""COMPUTED_VALUE"""),"Sabella")</f>
        <v>Sabella</v>
      </c>
      <c r="C214" s="43" t="str">
        <f>IFERROR(__xludf.DUMMYFUNCTION("""COMPUTED_VALUE"""),"(330) 666-0808")</f>
        <v>(330) 666-0808</v>
      </c>
      <c r="D214" s="5" t="str">
        <f>IFERROR(__xludf.DUMMYFUNCTION("""COMPUTED_VALUE"""),"annmarie.sabella@yahoo.com")</f>
        <v>annmarie.sabella@yahoo.com</v>
      </c>
      <c r="E214" s="5">
        <f>IFERROR(__xludf.DUMMYFUNCTION("""COMPUTED_VALUE"""),2022.0)</f>
        <v>2022</v>
      </c>
      <c r="F214" s="11" t="str">
        <f>IFERROR(__xludf.DUMMYFUNCTION("""COMPUTED_VALUE"""),"Mu")</f>
        <v>Mu</v>
      </c>
      <c r="G214" s="5" t="str">
        <f>IFERROR(__xludf.DUMMYFUNCTION("""COMPUTED_VALUE"""),"Columbus")</f>
        <v>Columbus</v>
      </c>
      <c r="H214" s="5" t="str">
        <f>IFERROR(__xludf.DUMMYFUNCTION("""COMPUTED_VALUE"""),"Cardinal Health")</f>
        <v>Cardinal Health</v>
      </c>
      <c r="I214" s="5" t="str">
        <f>IFERROR(__xludf.DUMMYFUNCTION("""COMPUTED_VALUE"""),"Product Manager")</f>
        <v>Product Manager</v>
      </c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5" t="str">
        <f>IFERROR(__xludf.DUMMYFUNCTION("""COMPUTED_VALUE"""),"Sydnie")</f>
        <v>Sydnie</v>
      </c>
      <c r="B215" s="5" t="str">
        <f>IFERROR(__xludf.DUMMYFUNCTION("""COMPUTED_VALUE"""),"Truesdale")</f>
        <v>Truesdale</v>
      </c>
      <c r="C215" s="43" t="str">
        <f>IFERROR(__xludf.DUMMYFUNCTION("""COMPUTED_VALUE"""),"(419) 296-9614")</f>
        <v>(419) 296-9614</v>
      </c>
      <c r="D215" s="5" t="str">
        <f>IFERROR(__xludf.DUMMYFUNCTION("""COMPUTED_VALUE"""),"Sydnie.truesdale@gmail.com")</f>
        <v>Sydnie.truesdale@gmail.com</v>
      </c>
      <c r="E215" s="5">
        <f>IFERROR(__xludf.DUMMYFUNCTION("""COMPUTED_VALUE"""),2022.0)</f>
        <v>2022</v>
      </c>
      <c r="F215" s="7" t="str">
        <f>IFERROR(__xludf.DUMMYFUNCTION("""COMPUTED_VALUE"""),"Nu")</f>
        <v>Nu</v>
      </c>
      <c r="G215" s="5" t="str">
        <f>IFERROR(__xludf.DUMMYFUNCTION("""COMPUTED_VALUE"""),"Columbus")</f>
        <v>Columbus</v>
      </c>
      <c r="H215" s="5" t="str">
        <f>IFERROR(__xludf.DUMMYFUNCTION("""COMPUTED_VALUE"""),"EY")</f>
        <v>EY</v>
      </c>
      <c r="I215" s="5" t="str">
        <f>IFERROR(__xludf.DUMMYFUNCTION("""COMPUTED_VALUE"""),"Business Consultant")</f>
        <v>Business Consultant</v>
      </c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24" t="str">
        <f>IFERROR(__xludf.DUMMYFUNCTION("""COMPUTED_VALUE"""),"Jake")</f>
        <v>Jake</v>
      </c>
      <c r="B216" s="24" t="str">
        <f>IFERROR(__xludf.DUMMYFUNCTION("""COMPUTED_VALUE"""),"Zinn")</f>
        <v>Zinn</v>
      </c>
      <c r="C216" s="43" t="str">
        <f>IFERROR(__xludf.DUMMYFUNCTION("""COMPUTED_VALUE"""),"(740) 506-2374")</f>
        <v>(740) 506-2374</v>
      </c>
      <c r="D216" s="25" t="str">
        <f>IFERROR(__xludf.DUMMYFUNCTION("""COMPUTED_VALUE"""),"jzinn00@gmail.com")</f>
        <v>jzinn00@gmail.com</v>
      </c>
      <c r="E216" s="24">
        <f>IFERROR(__xludf.DUMMYFUNCTION("""COMPUTED_VALUE"""),2022.0)</f>
        <v>2022</v>
      </c>
      <c r="F216" s="24" t="str">
        <f>IFERROR(__xludf.DUMMYFUNCTION("""COMPUTED_VALUE"""),"Mu")</f>
        <v>Mu</v>
      </c>
      <c r="G216" s="24" t="str">
        <f>IFERROR(__xludf.DUMMYFUNCTION("""COMPUTED_VALUE"""),"Columbus")</f>
        <v>Columbus</v>
      </c>
      <c r="H216" s="24" t="str">
        <f>IFERROR(__xludf.DUMMYFUNCTION("""COMPUTED_VALUE"""),"Lifetime Quality")</f>
        <v>Lifetime Quality</v>
      </c>
      <c r="I216" s="24" t="str">
        <f>IFERROR(__xludf.DUMMYFUNCTION("""COMPUTED_VALUE"""),"Finance Manager")</f>
        <v>Finance Manager</v>
      </c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24" t="str">
        <f>IFERROR(__xludf.DUMMYFUNCTION("""COMPUTED_VALUE"""),"Abe")</f>
        <v>Abe</v>
      </c>
      <c r="B217" s="24" t="str">
        <f>IFERROR(__xludf.DUMMYFUNCTION("""COMPUTED_VALUE"""),"McLaurin")</f>
        <v>McLaurin</v>
      </c>
      <c r="C217" s="43" t="str">
        <f>IFERROR(__xludf.DUMMYFUNCTION("""COMPUTED_VALUE"""),"(720) 340-0093")</f>
        <v>(720) 340-0093</v>
      </c>
      <c r="D217" s="25" t="str">
        <f>IFERROR(__xludf.DUMMYFUNCTION("""COMPUTED_VALUE"""),"abemclaurin@gmail.com")</f>
        <v>abemclaurin@gmail.com</v>
      </c>
      <c r="E217" s="24">
        <f>IFERROR(__xludf.DUMMYFUNCTION("""COMPUTED_VALUE"""),2022.0)</f>
        <v>2022</v>
      </c>
      <c r="F217" s="5" t="str">
        <f>IFERROR(__xludf.DUMMYFUNCTION("""COMPUTED_VALUE"""),"Mu")</f>
        <v>Mu</v>
      </c>
      <c r="G217" s="24" t="str">
        <f>IFERROR(__xludf.DUMMYFUNCTION("""COMPUTED_VALUE"""),"Dallas")</f>
        <v>Dallas</v>
      </c>
      <c r="H217" s="24" t="str">
        <f>IFERROR(__xludf.DUMMYFUNCTION("""COMPUTED_VALUE"""),"Allan Bailey Johnson Group")</f>
        <v>Allan Bailey Johnson Group</v>
      </c>
      <c r="I217" s="24" t="str">
        <f>IFERROR(__xludf.DUMMYFUNCTION("""COMPUTED_VALUE"""),"Business Development Associate")</f>
        <v>Business Development Associate</v>
      </c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24" t="str">
        <f>IFERROR(__xludf.DUMMYFUNCTION("""COMPUTED_VALUE"""),"Andrew")</f>
        <v>Andrew</v>
      </c>
      <c r="B218" s="24" t="str">
        <f>IFERROR(__xludf.DUMMYFUNCTION("""COMPUTED_VALUE"""),"Eubanks")</f>
        <v>Eubanks</v>
      </c>
      <c r="C218" s="43" t="str">
        <f>IFERROR(__xludf.DUMMYFUNCTION("""COMPUTED_VALUE"""),"(513) 969-1985")</f>
        <v>(513) 969-1985</v>
      </c>
      <c r="D218" s="25" t="str">
        <f>IFERROR(__xludf.DUMMYFUNCTION("""COMPUTED_VALUE"""),"eubanksa72@gmail.com")</f>
        <v>eubanksa72@gmail.com</v>
      </c>
      <c r="E218" s="24">
        <f>IFERROR(__xludf.DUMMYFUNCTION("""COMPUTED_VALUE"""),2022.0)</f>
        <v>2022</v>
      </c>
      <c r="F218" s="24" t="str">
        <f>IFERROR(__xludf.DUMMYFUNCTION("""COMPUTED_VALUE"""),"Mu")</f>
        <v>Mu</v>
      </c>
      <c r="G218" s="24" t="str">
        <f>IFERROR(__xludf.DUMMYFUNCTION("""COMPUTED_VALUE"""),"Denver")</f>
        <v>Denver</v>
      </c>
      <c r="H218" s="24" t="str">
        <f>IFERROR(__xludf.DUMMYFUNCTION("""COMPUTED_VALUE"""),"Salesforce")</f>
        <v>Salesforce</v>
      </c>
      <c r="I218" s="24" t="str">
        <f>IFERROR(__xludf.DUMMYFUNCTION("""COMPUTED_VALUE"""),"Success Guide")</f>
        <v>Success Guide</v>
      </c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5" t="str">
        <f>IFERROR(__xludf.DUMMYFUNCTION("""COMPUTED_VALUE"""),"Jacquie")</f>
        <v>Jacquie</v>
      </c>
      <c r="B219" s="5" t="str">
        <f>IFERROR(__xludf.DUMMYFUNCTION("""COMPUTED_VALUE"""),"Newberry")</f>
        <v>Newberry</v>
      </c>
      <c r="C219" s="43" t="str">
        <f>IFERROR(__xludf.DUMMYFUNCTION("""COMPUTED_VALUE"""),"(937) 215-6777")</f>
        <v>(937) 215-6777</v>
      </c>
      <c r="D219" s="5" t="str">
        <f>IFERROR(__xludf.DUMMYFUNCTION("""COMPUTED_VALUE"""),"Jacquie2018@gmail.com")</f>
        <v>Jacquie2018@gmail.com</v>
      </c>
      <c r="E219" s="5">
        <f>IFERROR(__xludf.DUMMYFUNCTION("""COMPUTED_VALUE"""),2022.0)</f>
        <v>2022</v>
      </c>
      <c r="F219" s="7" t="str">
        <f>IFERROR(__xludf.DUMMYFUNCTION("""COMPUTED_VALUE"""),"Lambda")</f>
        <v>Lambda</v>
      </c>
      <c r="G219" s="5" t="str">
        <f>IFERROR(__xludf.DUMMYFUNCTION("""COMPUTED_VALUE"""),"Los Angeles")</f>
        <v>Los Angeles</v>
      </c>
      <c r="H219" s="5" t="str">
        <f>IFERROR(__xludf.DUMMYFUNCTION("""COMPUTED_VALUE"""),"Razorhorse Capital")</f>
        <v>Razorhorse Capital</v>
      </c>
      <c r="I219" s="5" t="str">
        <f>IFERROR(__xludf.DUMMYFUNCTION("""COMPUTED_VALUE"""),"Human Resources Generalist")</f>
        <v>Human Resources Generalist</v>
      </c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5" t="str">
        <f>IFERROR(__xludf.DUMMYFUNCTION("""COMPUTED_VALUE"""),"Ava")</f>
        <v>Ava</v>
      </c>
      <c r="B220" s="5" t="str">
        <f>IFERROR(__xludf.DUMMYFUNCTION("""COMPUTED_VALUE"""),"Giambona")</f>
        <v>Giambona</v>
      </c>
      <c r="C220" s="43" t="str">
        <f>IFERROR(__xludf.DUMMYFUNCTION("""COMPUTED_VALUE"""),"(201) 694-4869")</f>
        <v>(201) 694-4869</v>
      </c>
      <c r="D220" s="5" t="str">
        <f>IFERROR(__xludf.DUMMYFUNCTION("""COMPUTED_VALUE"""),"giambona.1@osu.edu")</f>
        <v>giambona.1@osu.edu</v>
      </c>
      <c r="E220" s="5">
        <f>IFERROR(__xludf.DUMMYFUNCTION("""COMPUTED_VALUE"""),2022.0)</f>
        <v>2022</v>
      </c>
      <c r="F220" s="23" t="str">
        <f>IFERROR(__xludf.DUMMYFUNCTION("""COMPUTED_VALUE"""),"Nu")</f>
        <v>Nu</v>
      </c>
      <c r="G220" s="5" t="str">
        <f>IFERROR(__xludf.DUMMYFUNCTION("""COMPUTED_VALUE"""),"Los Angeles ")</f>
        <v>Los Angeles </v>
      </c>
      <c r="H220" s="5" t="str">
        <f>IFERROR(__xludf.DUMMYFUNCTION("""COMPUTED_VALUE"""),"Create Music Group")</f>
        <v>Create Music Group</v>
      </c>
      <c r="I220" s="5" t="str">
        <f>IFERROR(__xludf.DUMMYFUNCTION("""COMPUTED_VALUE"""),"Distribution Operations Specialist")</f>
        <v>Distribution Operations Specialist</v>
      </c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5" t="str">
        <f>IFERROR(__xludf.DUMMYFUNCTION("""COMPUTED_VALUE"""),"Jim")</f>
        <v>Jim</v>
      </c>
      <c r="B221" s="5" t="str">
        <f>IFERROR(__xludf.DUMMYFUNCTION("""COMPUTED_VALUE"""),"Cheng")</f>
        <v>Cheng</v>
      </c>
      <c r="C221" s="43" t="str">
        <f>IFERROR(__xludf.DUMMYFUNCTION("""COMPUTED_VALUE"""),"(419) 516-6777")</f>
        <v>(419) 516-6777</v>
      </c>
      <c r="D221" s="5" t="str">
        <f>IFERROR(__xludf.DUMMYFUNCTION("""COMPUTED_VALUE"""),"jge9999@gmail.com")</f>
        <v>jge9999@gmail.com</v>
      </c>
      <c r="E221" s="5">
        <f>IFERROR(__xludf.DUMMYFUNCTION("""COMPUTED_VALUE"""),2022.0)</f>
        <v>2022</v>
      </c>
      <c r="F221" s="11" t="str">
        <f>IFERROR(__xludf.DUMMYFUNCTION("""COMPUTED_VALUE"""),"Mu")</f>
        <v>Mu</v>
      </c>
      <c r="G221" s="5" t="str">
        <f>IFERROR(__xludf.DUMMYFUNCTION("""COMPUTED_VALUE"""),"Miami")</f>
        <v>Miami</v>
      </c>
      <c r="H221" s="5" t="str">
        <f>IFERROR(__xludf.DUMMYFUNCTION("""COMPUTED_VALUE"""),"Adata Technology")</f>
        <v>Adata Technology</v>
      </c>
      <c r="I221" s="5" t="str">
        <f>IFERROR(__xludf.DUMMYFUNCTION("""COMPUTED_VALUE"""),"Seceretary of ESG Office")</f>
        <v>Seceretary of ESG Office</v>
      </c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5" t="str">
        <f>IFERROR(__xludf.DUMMYFUNCTION("""COMPUTED_VALUE"""),"Max")</f>
        <v>Max</v>
      </c>
      <c r="B222" s="5" t="str">
        <f>IFERROR(__xludf.DUMMYFUNCTION("""COMPUTED_VALUE"""),"Mahoney")</f>
        <v>Mahoney</v>
      </c>
      <c r="C222" s="43" t="str">
        <f>IFERROR(__xludf.DUMMYFUNCTION("""COMPUTED_VALUE"""),"(513) 504-3203")</f>
        <v>(513) 504-3203</v>
      </c>
      <c r="D222" s="5" t="str">
        <f>IFERROR(__xludf.DUMMYFUNCTION("""COMPUTED_VALUE"""),"Mmahoney8181@gmail.com")</f>
        <v>Mmahoney8181@gmail.com</v>
      </c>
      <c r="E222" s="5">
        <f>IFERROR(__xludf.DUMMYFUNCTION("""COMPUTED_VALUE"""),2022.0)</f>
        <v>2022</v>
      </c>
      <c r="F222" s="7" t="str">
        <f>IFERROR(__xludf.DUMMYFUNCTION("""COMPUTED_VALUE"""),"Lambda")</f>
        <v>Lambda</v>
      </c>
      <c r="G222" s="5" t="str">
        <f>IFERROR(__xludf.DUMMYFUNCTION("""COMPUTED_VALUE"""),"Austin, TX")</f>
        <v>Austin, TX</v>
      </c>
      <c r="H222" s="5" t="str">
        <f>IFERROR(__xludf.DUMMYFUNCTION("""COMPUTED_VALUE"""),"Emporia Research")</f>
        <v>Emporia Research</v>
      </c>
      <c r="I222" s="5" t="str">
        <f>IFERROR(__xludf.DUMMYFUNCTION("""COMPUTED_VALUE"""),"Client Solutions Associate")</f>
        <v>Client Solutions Associate</v>
      </c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5" t="str">
        <f>IFERROR(__xludf.DUMMYFUNCTION("""COMPUTED_VALUE"""),"Michelle")</f>
        <v>Michelle</v>
      </c>
      <c r="B223" s="5" t="str">
        <f>IFERROR(__xludf.DUMMYFUNCTION("""COMPUTED_VALUE"""),"Hang")</f>
        <v>Hang</v>
      </c>
      <c r="C223" s="43" t="str">
        <f>IFERROR(__xludf.DUMMYFUNCTION("""COMPUTED_VALUE"""),"(419) 208-8799")</f>
        <v>(419) 208-8799</v>
      </c>
      <c r="D223" s="5" t="str">
        <f>IFERROR(__xludf.DUMMYFUNCTION("""COMPUTED_VALUE"""),"michellehang37@gmail.com")</f>
        <v>michellehang37@gmail.com</v>
      </c>
      <c r="E223" s="5">
        <f>IFERROR(__xludf.DUMMYFUNCTION("""COMPUTED_VALUE"""),2022.0)</f>
        <v>2022</v>
      </c>
      <c r="F223" s="7" t="str">
        <f>IFERROR(__xludf.DUMMYFUNCTION("""COMPUTED_VALUE"""),"Lambda")</f>
        <v>Lambda</v>
      </c>
      <c r="G223" s="5" t="str">
        <f>IFERROR(__xludf.DUMMYFUNCTION("""COMPUTED_VALUE"""),"New York")</f>
        <v>New York</v>
      </c>
      <c r="H223" s="5" t="str">
        <f>IFERROR(__xludf.DUMMYFUNCTION("""COMPUTED_VALUE"""),"LittleJohn &amp; Co")</f>
        <v>LittleJohn &amp; Co</v>
      </c>
      <c r="I223" s="5" t="str">
        <f>IFERROR(__xludf.DUMMYFUNCTION("""COMPUTED_VALUE"""),"Private Equity Associate")</f>
        <v>Private Equity Associate</v>
      </c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5" t="str">
        <f>IFERROR(__xludf.DUMMYFUNCTION("""COMPUTED_VALUE"""),"Shirley")</f>
        <v>Shirley</v>
      </c>
      <c r="B224" s="5" t="str">
        <f>IFERROR(__xludf.DUMMYFUNCTION("""COMPUTED_VALUE"""),"Zhang")</f>
        <v>Zhang</v>
      </c>
      <c r="C224" s="43" t="str">
        <f>IFERROR(__xludf.DUMMYFUNCTION("""COMPUTED_VALUE"""),"(636) 345-6605")</f>
        <v>(636) 345-6605</v>
      </c>
      <c r="D224" s="5" t="str">
        <f>IFERROR(__xludf.DUMMYFUNCTION("""COMPUTED_VALUE"""),"Zhang.9076@osu.edu")</f>
        <v>Zhang.9076@osu.edu</v>
      </c>
      <c r="E224" s="5">
        <f>IFERROR(__xludf.DUMMYFUNCTION("""COMPUTED_VALUE"""),2022.0)</f>
        <v>2022</v>
      </c>
      <c r="F224" s="11" t="str">
        <f>IFERROR(__xludf.DUMMYFUNCTION("""COMPUTED_VALUE"""),"Lambda")</f>
        <v>Lambda</v>
      </c>
      <c r="G224" s="5" t="str">
        <f>IFERROR(__xludf.DUMMYFUNCTION("""COMPUTED_VALUE"""),"New York")</f>
        <v>New York</v>
      </c>
      <c r="H224" s="5" t="str">
        <f>IFERROR(__xludf.DUMMYFUNCTION("""COMPUTED_VALUE"""),"Payam Music")</f>
        <v>Payam Music</v>
      </c>
      <c r="I224" s="5" t="str">
        <f>IFERROR(__xludf.DUMMYFUNCTION("""COMPUTED_VALUE"""),"Business Operations Associate")</f>
        <v>Business Operations Associate</v>
      </c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24" t="str">
        <f>IFERROR(__xludf.DUMMYFUNCTION("""COMPUTED_VALUE"""),"Gabby")</f>
        <v>Gabby</v>
      </c>
      <c r="B225" s="24" t="str">
        <f>IFERROR(__xludf.DUMMYFUNCTION("""COMPUTED_VALUE"""),"Horvath")</f>
        <v>Horvath</v>
      </c>
      <c r="C225" s="43" t="str">
        <f>IFERROR(__xludf.DUMMYFUNCTION("""COMPUTED_VALUE"""),"(440) 783-2220")</f>
        <v>(440) 783-2220</v>
      </c>
      <c r="D225" s="25" t="str">
        <f>IFERROR(__xludf.DUMMYFUNCTION("""COMPUTED_VALUE"""),"gabbyhorvath7@gmail.com")</f>
        <v>gabbyhorvath7@gmail.com</v>
      </c>
      <c r="E225" s="24">
        <f>IFERROR(__xludf.DUMMYFUNCTION("""COMPUTED_VALUE"""),2022.0)</f>
        <v>2022</v>
      </c>
      <c r="F225" s="5" t="str">
        <f>IFERROR(__xludf.DUMMYFUNCTION("""COMPUTED_VALUE"""),"Mu")</f>
        <v>Mu</v>
      </c>
      <c r="G225" s="24" t="str">
        <f>IFERROR(__xludf.DUMMYFUNCTION("""COMPUTED_VALUE"""),"New York")</f>
        <v>New York</v>
      </c>
      <c r="H225" s="24" t="str">
        <f>IFERROR(__xludf.DUMMYFUNCTION("""COMPUTED_VALUE"""),"Keybanc Capital Markets")</f>
        <v>Keybanc Capital Markets</v>
      </c>
      <c r="I225" s="24" t="str">
        <f>IFERROR(__xludf.DUMMYFUNCTION("""COMPUTED_VALUE"""),"Senior Equity Research Associate")</f>
        <v>Senior Equity Research Associate</v>
      </c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5" t="str">
        <f>IFERROR(__xludf.DUMMYFUNCTION("""COMPUTED_VALUE"""),"Stephen")</f>
        <v>Stephen</v>
      </c>
      <c r="B226" s="5" t="str">
        <f>IFERROR(__xludf.DUMMYFUNCTION("""COMPUTED_VALUE"""),"Hudock")</f>
        <v>Hudock</v>
      </c>
      <c r="C226" s="43" t="str">
        <f>IFERROR(__xludf.DUMMYFUNCTION("""COMPUTED_VALUE"""),"(412) 477-0334")</f>
        <v>(412) 477-0334</v>
      </c>
      <c r="D226" s="5" t="str">
        <f>IFERROR(__xludf.DUMMYFUNCTION("""COMPUTED_VALUE"""),"Shhudock1@gmail.com")</f>
        <v>Shhudock1@gmail.com</v>
      </c>
      <c r="E226" s="5">
        <f>IFERROR(__xludf.DUMMYFUNCTION("""COMPUTED_VALUE"""),2022.0)</f>
        <v>2022</v>
      </c>
      <c r="F226" s="7" t="str">
        <f>IFERROR(__xludf.DUMMYFUNCTION("""COMPUTED_VALUE"""),"Mu")</f>
        <v>Mu</v>
      </c>
      <c r="G226" s="5" t="str">
        <f>IFERROR(__xludf.DUMMYFUNCTION("""COMPUTED_VALUE"""),"Pittsburgh")</f>
        <v>Pittsburgh</v>
      </c>
      <c r="H226" s="5" t="str">
        <f>IFERROR(__xludf.DUMMYFUNCTION("""COMPUTED_VALUE"""),"Alumisource")</f>
        <v>Alumisource</v>
      </c>
      <c r="I226" s="5" t="str">
        <f>IFERROR(__xludf.DUMMYFUNCTION("""COMPUTED_VALUE"""),"N/A")</f>
        <v>N/A</v>
      </c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5" t="str">
        <f>IFERROR(__xludf.DUMMYFUNCTION("""COMPUTED_VALUE"""),"Mike")</f>
        <v>Mike</v>
      </c>
      <c r="B227" s="5" t="str">
        <f>IFERROR(__xludf.DUMMYFUNCTION("""COMPUTED_VALUE"""),"Schultz")</f>
        <v>Schultz</v>
      </c>
      <c r="C227" s="43" t="str">
        <f>IFERROR(__xludf.DUMMYFUNCTION("""COMPUTED_VALUE"""),"(775) 737-1458")</f>
        <v>(775) 737-1458</v>
      </c>
      <c r="D227" s="5" t="str">
        <f>IFERROR(__xludf.DUMMYFUNCTION("""COMPUTED_VALUE"""),"Mikeschultz1999@gmail.com")</f>
        <v>Mikeschultz1999@gmail.com</v>
      </c>
      <c r="E227" s="5">
        <f>IFERROR(__xludf.DUMMYFUNCTION("""COMPUTED_VALUE"""),2022.0)</f>
        <v>2022</v>
      </c>
      <c r="F227" s="7" t="str">
        <f>IFERROR(__xludf.DUMMYFUNCTION("""COMPUTED_VALUE"""),"Lambda")</f>
        <v>Lambda</v>
      </c>
      <c r="G227" s="5" t="str">
        <f>IFERROR(__xludf.DUMMYFUNCTION("""COMPUTED_VALUE"""),"Pittsburgh")</f>
        <v>Pittsburgh</v>
      </c>
      <c r="H227" s="20" t="str">
        <f>IFERROR(__xludf.DUMMYFUNCTION("""COMPUTED_VALUE"""),"PNC Bank")</f>
        <v>PNC Bank</v>
      </c>
      <c r="I227" s="5" t="str">
        <f>IFERROR(__xludf.DUMMYFUNCTION("""COMPUTED_VALUE"""),"Debt Capital Markets Associate")</f>
        <v>Debt Capital Markets Associate</v>
      </c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24" t="str">
        <f>IFERROR(__xludf.DUMMYFUNCTION("""COMPUTED_VALUE"""),"Sarah")</f>
        <v>Sarah</v>
      </c>
      <c r="B228" s="24" t="str">
        <f>IFERROR(__xludf.DUMMYFUNCTION("""COMPUTED_VALUE"""),"Zhang")</f>
        <v>Zhang</v>
      </c>
      <c r="C228" s="43" t="str">
        <f>IFERROR(__xludf.DUMMYFUNCTION("""COMPUTED_VALUE"""),"(513) 823-1729")</f>
        <v>(513) 823-1729</v>
      </c>
      <c r="D228" s="25" t="str">
        <f>IFERROR(__xludf.DUMMYFUNCTION("""COMPUTED_VALUE"""),"zhang.9257@osu.edu")</f>
        <v>zhang.9257@osu.edu</v>
      </c>
      <c r="E228" s="24">
        <f>IFERROR(__xludf.DUMMYFUNCTION("""COMPUTED_VALUE"""),2022.0)</f>
        <v>2022</v>
      </c>
      <c r="F228" s="23" t="str">
        <f>IFERROR(__xludf.DUMMYFUNCTION("""COMPUTED_VALUE"""),"Nu")</f>
        <v>Nu</v>
      </c>
      <c r="G228" s="24" t="str">
        <f>IFERROR(__xludf.DUMMYFUNCTION("""COMPUTED_VALUE"""),"San Francisco")</f>
        <v>San Francisco</v>
      </c>
      <c r="H228" s="24" t="str">
        <f>IFERROR(__xludf.DUMMYFUNCTION("""COMPUTED_VALUE"""),"Meta")</f>
        <v>Meta</v>
      </c>
      <c r="I228" s="24" t="str">
        <f>IFERROR(__xludf.DUMMYFUNCTION("""COMPUTED_VALUE"""),"Software Engineer")</f>
        <v>Software Engineer</v>
      </c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5" t="str">
        <f>IFERROR(__xludf.DUMMYFUNCTION("""COMPUTED_VALUE"""),"Patrick")</f>
        <v>Patrick</v>
      </c>
      <c r="B229" s="5" t="str">
        <f>IFERROR(__xludf.DUMMYFUNCTION("""COMPUTED_VALUE"""),"Lee")</f>
        <v>Lee</v>
      </c>
      <c r="C229" s="43" t="str">
        <f>IFERROR(__xludf.DUMMYFUNCTION("""COMPUTED_VALUE"""),"(440) 773-3576")</f>
        <v>(440) 773-3576</v>
      </c>
      <c r="D229" s="5" t="str">
        <f>IFERROR(__xludf.DUMMYFUNCTION("""COMPUTED_VALUE"""),"plee51000@gmail.com")</f>
        <v>plee51000@gmail.com</v>
      </c>
      <c r="E229" s="5">
        <f>IFERROR(__xludf.DUMMYFUNCTION("""COMPUTED_VALUE"""),2022.0)</f>
        <v>2022</v>
      </c>
      <c r="F229" s="7" t="str">
        <f>IFERROR(__xludf.DUMMYFUNCTION("""COMPUTED_VALUE"""),"Nu")</f>
        <v>Nu</v>
      </c>
      <c r="G229" s="5" t="str">
        <f>IFERROR(__xludf.DUMMYFUNCTION("""COMPUTED_VALUE"""),"Seattle")</f>
        <v>Seattle</v>
      </c>
      <c r="H229" s="5" t="str">
        <f>IFERROR(__xludf.DUMMYFUNCTION("""COMPUTED_VALUE"""),"Gates Foundation")</f>
        <v>Gates Foundation</v>
      </c>
      <c r="I229" s="5" t="str">
        <f>IFERROR(__xludf.DUMMYFUNCTION("""COMPUTED_VALUE"""),"Associate Strategy Officer")</f>
        <v>Associate Strategy Officer</v>
      </c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5" t="str">
        <f>IFERROR(__xludf.DUMMYFUNCTION("""COMPUTED_VALUE"""),"Mara")</f>
        <v>Mara</v>
      </c>
      <c r="B230" s="5" t="str">
        <f>IFERROR(__xludf.DUMMYFUNCTION("""COMPUTED_VALUE"""),"Rayburg")</f>
        <v>Rayburg</v>
      </c>
      <c r="C230" s="43" t="str">
        <f>IFERROR(__xludf.DUMMYFUNCTION("""COMPUTED_VALUE"""),"(412) 316-7756")</f>
        <v>(412) 316-7756</v>
      </c>
      <c r="D230" s="5" t="str">
        <f>IFERROR(__xludf.DUMMYFUNCTION("""COMPUTED_VALUE"""),"mararayburg33@gmail.com")</f>
        <v>mararayburg33@gmail.com</v>
      </c>
      <c r="E230" s="5">
        <f>IFERROR(__xludf.DUMMYFUNCTION("""COMPUTED_VALUE"""),2022.0)</f>
        <v>2022</v>
      </c>
      <c r="F230" s="7" t="str">
        <f>IFERROR(__xludf.DUMMYFUNCTION("""COMPUTED_VALUE"""),"Mu")</f>
        <v>Mu</v>
      </c>
      <c r="G230" s="5" t="str">
        <f>IFERROR(__xludf.DUMMYFUNCTION("""COMPUTED_VALUE"""),"Indianpolis, Indiana ")</f>
        <v>Indianpolis, Indiana </v>
      </c>
      <c r="H230" s="5" t="str">
        <f>IFERROR(__xludf.DUMMYFUNCTION("""COMPUTED_VALUE"""),"Eli Lilly")</f>
        <v>Eli Lilly</v>
      </c>
      <c r="I230" s="5" t="str">
        <f>IFERROR(__xludf.DUMMYFUNCTION("""COMPUTED_VALUE"""),"Senior Associate Sales &amp; Marketing")</f>
        <v>Senior Associate Sales &amp; Marketing</v>
      </c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1" t="str">
        <f>IFERROR(__xludf.DUMMYFUNCTION("""COMPUTED_VALUE"""),"Nicole")</f>
        <v>Nicole</v>
      </c>
      <c r="B231" s="41" t="str">
        <f>IFERROR(__xludf.DUMMYFUNCTION("""COMPUTED_VALUE"""),"Franklin")</f>
        <v>Franklin</v>
      </c>
      <c r="C231" s="45" t="str">
        <f>IFERROR(__xludf.DUMMYFUNCTION("""COMPUTED_VALUE"""),"(201) 819-9179")</f>
        <v>(201) 819-9179</v>
      </c>
      <c r="D231" s="45" t="str">
        <f>IFERROR(__xludf.DUMMYFUNCTION("""COMPUTED_VALUE"""),"franklnic7@gmail.com")</f>
        <v>franklnic7@gmail.com</v>
      </c>
      <c r="E231" s="41">
        <f>IFERROR(__xludf.DUMMYFUNCTION("""COMPUTED_VALUE"""),2022.0)</f>
        <v>2022</v>
      </c>
      <c r="F231" s="41" t="str">
        <f>IFERROR(__xludf.DUMMYFUNCTION("""COMPUTED_VALUE"""),"Xi")</f>
        <v>Xi</v>
      </c>
      <c r="G231" s="41" t="str">
        <f>IFERROR(__xludf.DUMMYFUNCTION("""COMPUTED_VALUE"""),"Westwood, NJ")</f>
        <v>Westwood, NJ</v>
      </c>
      <c r="H231" s="45" t="str">
        <f>IFERROR(__xludf.DUMMYFUNCTION("""COMPUTED_VALUE"""),"Marsh")</f>
        <v>Marsh</v>
      </c>
      <c r="I231" s="45" t="str">
        <f>IFERROR(__xludf.DUMMYFUNCTION("""COMPUTED_VALUE"""),"Assistant Vice President")</f>
        <v>Assistant Vice President</v>
      </c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1" t="str">
        <f>IFERROR(__xludf.DUMMYFUNCTION("""COMPUTED_VALUE"""),"Erin")</f>
        <v>Erin</v>
      </c>
      <c r="B232" s="41" t="str">
        <f>IFERROR(__xludf.DUMMYFUNCTION("""COMPUTED_VALUE"""),"Dickman")</f>
        <v>Dickman</v>
      </c>
      <c r="C232" s="45" t="str">
        <f>IFERROR(__xludf.DUMMYFUNCTION("""COMPUTED_VALUE"""),"(513) 833-6741")</f>
        <v>(513) 833-6741</v>
      </c>
      <c r="D232" s="45" t="str">
        <f>IFERROR(__xludf.DUMMYFUNCTION("""COMPUTED_VALUE"""),"erindickman03@gmail.com")</f>
        <v>erindickman03@gmail.com</v>
      </c>
      <c r="E232" s="41">
        <f>IFERROR(__xludf.DUMMYFUNCTION("""COMPUTED_VALUE"""),2023.0)</f>
        <v>2023</v>
      </c>
      <c r="F232" s="41" t="str">
        <f>IFERROR(__xludf.DUMMYFUNCTION("""COMPUTED_VALUE"""),"Pi")</f>
        <v>Pi</v>
      </c>
      <c r="G232" s="41" t="str">
        <f>IFERROR(__xludf.DUMMYFUNCTION("""COMPUTED_VALUE"""),"Atlanta, GA")</f>
        <v>Atlanta, GA</v>
      </c>
      <c r="H232" s="45" t="str">
        <f>IFERROR(__xludf.DUMMYFUNCTION("""COMPUTED_VALUE"""),"Truist Securities")</f>
        <v>Truist Securities</v>
      </c>
      <c r="I232" s="45" t="str">
        <f>IFERROR(__xludf.DUMMYFUNCTION("""COMPUTED_VALUE"""),"Investment Banking Analyst")</f>
        <v>Investment Banking Analyst</v>
      </c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24" t="str">
        <f>IFERROR(__xludf.DUMMYFUNCTION("""COMPUTED_VALUE"""),"Jon")</f>
        <v>Jon</v>
      </c>
      <c r="B233" s="24" t="str">
        <f>IFERROR(__xludf.DUMMYFUNCTION("""COMPUTED_VALUE"""),"Olbur")</f>
        <v>Olbur</v>
      </c>
      <c r="C233" s="43" t="str">
        <f>IFERROR(__xludf.DUMMYFUNCTION("""COMPUTED_VALUE"""),"(847) 909-1083")</f>
        <v>(847) 909-1083</v>
      </c>
      <c r="D233" s="25" t="str">
        <f>IFERROR(__xludf.DUMMYFUNCTION("""COMPUTED_VALUE"""),"jolbur63@gmail.com")</f>
        <v>jolbur63@gmail.com</v>
      </c>
      <c r="E233" s="24">
        <f>IFERROR(__xludf.DUMMYFUNCTION("""COMPUTED_VALUE"""),2023.0)</f>
        <v>2023</v>
      </c>
      <c r="F233" s="5" t="str">
        <f>IFERROR(__xludf.DUMMYFUNCTION("""COMPUTED_VALUE"""),"Pi")</f>
        <v>Pi</v>
      </c>
      <c r="G233" s="24" t="str">
        <f>IFERROR(__xludf.DUMMYFUNCTION("""COMPUTED_VALUE"""),"Charlotte, NC")</f>
        <v>Charlotte, NC</v>
      </c>
      <c r="H233" s="24" t="str">
        <f>IFERROR(__xludf.DUMMYFUNCTION("""COMPUTED_VALUE"""),"Bank of America")</f>
        <v>Bank of America</v>
      </c>
      <c r="I233" s="24" t="str">
        <f>IFERROR(__xludf.DUMMYFUNCTION("""COMPUTED_VALUE"""),"Financial Analyst")</f>
        <v>Financial Analyst</v>
      </c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5" t="str">
        <f>IFERROR(__xludf.DUMMYFUNCTION("""COMPUTED_VALUE"""),"Jacob")</f>
        <v>Jacob</v>
      </c>
      <c r="B234" s="5" t="str">
        <f>IFERROR(__xludf.DUMMYFUNCTION("""COMPUTED_VALUE"""),"Andrews")</f>
        <v>Andrews</v>
      </c>
      <c r="C234" s="43" t="str">
        <f>IFERROR(__xludf.DUMMYFUNCTION("""COMPUTED_VALUE"""),"(440) 864-2456")</f>
        <v>(440) 864-2456</v>
      </c>
      <c r="D234" s="5" t="str">
        <f>IFERROR(__xludf.DUMMYFUNCTION("""COMPUTED_VALUE"""),"1120jand@gmail.com")</f>
        <v>1120jand@gmail.com</v>
      </c>
      <c r="E234" s="5">
        <f>IFERROR(__xludf.DUMMYFUNCTION("""COMPUTED_VALUE"""),2023.0)</f>
        <v>2023</v>
      </c>
      <c r="F234" s="7" t="str">
        <f>IFERROR(__xludf.DUMMYFUNCTION("""COMPUTED_VALUE"""),"Nu")</f>
        <v>Nu</v>
      </c>
      <c r="G234" s="5" t="str">
        <f>IFERROR(__xludf.DUMMYFUNCTION("""COMPUTED_VALUE"""),"Chicago")</f>
        <v>Chicago</v>
      </c>
      <c r="H234" s="5" t="str">
        <f>IFERROR(__xludf.DUMMYFUNCTION("""COMPUTED_VALUE"""),"EY Parthenon")</f>
        <v>EY Parthenon</v>
      </c>
      <c r="I234" s="5" t="str">
        <f>IFERROR(__xludf.DUMMYFUNCTION("""COMPUTED_VALUE"""),"Associate")</f>
        <v>Associate</v>
      </c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5" t="str">
        <f>IFERROR(__xludf.DUMMYFUNCTION("""COMPUTED_VALUE"""),"Charlie")</f>
        <v>Charlie</v>
      </c>
      <c r="B235" s="5" t="str">
        <f>IFERROR(__xludf.DUMMYFUNCTION("""COMPUTED_VALUE"""),"Areddy")</f>
        <v>Areddy</v>
      </c>
      <c r="C235" s="43" t="str">
        <f>IFERROR(__xludf.DUMMYFUNCTION("""COMPUTED_VALUE"""),"(513) 413-7469")</f>
        <v>(513) 413-7469</v>
      </c>
      <c r="D235" s="5" t="str">
        <f>IFERROR(__xludf.DUMMYFUNCTION("""COMPUTED_VALUE"""),"cjareddy@gmail.com")</f>
        <v>cjareddy@gmail.com</v>
      </c>
      <c r="E235" s="5">
        <f>IFERROR(__xludf.DUMMYFUNCTION("""COMPUTED_VALUE"""),2023.0)</f>
        <v>2023</v>
      </c>
      <c r="F235" s="7" t="str">
        <f>IFERROR(__xludf.DUMMYFUNCTION("""COMPUTED_VALUE"""),"Nu")</f>
        <v>Nu</v>
      </c>
      <c r="G235" s="5" t="str">
        <f>IFERROR(__xludf.DUMMYFUNCTION("""COMPUTED_VALUE"""),"Chicago")</f>
        <v>Chicago</v>
      </c>
      <c r="H235" s="5" t="str">
        <f>IFERROR(__xludf.DUMMYFUNCTION("""COMPUTED_VALUE"""),"Fifth Third Bank")</f>
        <v>Fifth Third Bank</v>
      </c>
      <c r="I235" s="5" t="str">
        <f>IFERROR(__xludf.DUMMYFUNCTION("""COMPUTED_VALUE"""),"Fund Finance Associate")</f>
        <v>Fund Finance Associate</v>
      </c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28" t="str">
        <f>IFERROR(__xludf.DUMMYFUNCTION("""COMPUTED_VALUE"""),"Kat")</f>
        <v>Kat</v>
      </c>
      <c r="B236" s="28" t="str">
        <f>IFERROR(__xludf.DUMMYFUNCTION("""COMPUTED_VALUE"""),"Barricklow")</f>
        <v>Barricklow</v>
      </c>
      <c r="C236" s="43" t="str">
        <f>IFERROR(__xludf.DUMMYFUNCTION("""COMPUTED_VALUE"""),"(567)4553156")</f>
        <v>(567)4553156</v>
      </c>
      <c r="D236" s="25" t="str">
        <f>IFERROR(__xludf.DUMMYFUNCTION("""COMPUTED_VALUE"""),"katbarricklow@gmail.com")</f>
        <v>katbarricklow@gmail.com</v>
      </c>
      <c r="E236" s="24">
        <f>IFERROR(__xludf.DUMMYFUNCTION("""COMPUTED_VALUE"""),2023.0)</f>
        <v>2023</v>
      </c>
      <c r="F236" s="12" t="str">
        <f>IFERROR(__xludf.DUMMYFUNCTION("""COMPUTED_VALUE"""),"Xi")</f>
        <v>Xi</v>
      </c>
      <c r="G236" s="24" t="str">
        <f>IFERROR(__xludf.DUMMYFUNCTION("""COMPUTED_VALUE"""),"Chicago")</f>
        <v>Chicago</v>
      </c>
      <c r="H236" s="24" t="str">
        <f>IFERROR(__xludf.DUMMYFUNCTION("""COMPUTED_VALUE"""),"Capital One")</f>
        <v>Capital One</v>
      </c>
      <c r="I236" s="24" t="str">
        <f>IFERROR(__xludf.DUMMYFUNCTION("""COMPUTED_VALUE"""),"Senior Business Analyst")</f>
        <v>Senior Business Analyst</v>
      </c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5" t="str">
        <f>IFERROR(__xludf.DUMMYFUNCTION("""COMPUTED_VALUE"""),"Carter")</f>
        <v>Carter</v>
      </c>
      <c r="B237" s="5" t="str">
        <f>IFERROR(__xludf.DUMMYFUNCTION("""COMPUTED_VALUE"""),"Buck")</f>
        <v>Buck</v>
      </c>
      <c r="C237" s="43" t="str">
        <f>IFERROR(__xludf.DUMMYFUNCTION("""COMPUTED_VALUE"""),"(980) 322-3250")</f>
        <v>(980) 322-3250</v>
      </c>
      <c r="D237" s="5" t="str">
        <f>IFERROR(__xludf.DUMMYFUNCTION("""COMPUTED_VALUE"""),"carter_buck@Icloud.com")</f>
        <v>carter_buck@Icloud.com</v>
      </c>
      <c r="E237" s="5">
        <f>IFERROR(__xludf.DUMMYFUNCTION("""COMPUTED_VALUE"""),2023.0)</f>
        <v>2023</v>
      </c>
      <c r="F237" s="7" t="str">
        <f>IFERROR(__xludf.DUMMYFUNCTION("""COMPUTED_VALUE"""),"Nu")</f>
        <v>Nu</v>
      </c>
      <c r="G237" s="5" t="str">
        <f>IFERROR(__xludf.DUMMYFUNCTION("""COMPUTED_VALUE"""),"Chicago")</f>
        <v>Chicago</v>
      </c>
      <c r="H237" s="5" t="str">
        <f>IFERROR(__xludf.DUMMYFUNCTION("""COMPUTED_VALUE"""),"PwC")</f>
        <v>PwC</v>
      </c>
      <c r="I237" s="5" t="str">
        <f>IFERROR(__xludf.DUMMYFUNCTION("""COMPUTED_VALUE"""),"Finance Transormation Associate")</f>
        <v>Finance Transormation Associate</v>
      </c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24" t="str">
        <f>IFERROR(__xludf.DUMMYFUNCTION("""COMPUTED_VALUE"""),"Michael")</f>
        <v>Michael</v>
      </c>
      <c r="B238" s="24" t="str">
        <f>IFERROR(__xludf.DUMMYFUNCTION("""COMPUTED_VALUE"""),"Discenza")</f>
        <v>Discenza</v>
      </c>
      <c r="C238" s="43" t="str">
        <f>IFERROR(__xludf.DUMMYFUNCTION("""COMPUTED_VALUE"""),"(330) 754-7450")</f>
        <v>(330) 754-7450</v>
      </c>
      <c r="D238" s="25" t="str">
        <f>IFERROR(__xludf.DUMMYFUNCTION("""COMPUTED_VALUE"""),"michaeldiscenza106@gmail.com")</f>
        <v>michaeldiscenza106@gmail.com</v>
      </c>
      <c r="E238" s="24">
        <f>IFERROR(__xludf.DUMMYFUNCTION("""COMPUTED_VALUE"""),2023.0)</f>
        <v>2023</v>
      </c>
      <c r="F238" s="5" t="str">
        <f>IFERROR(__xludf.DUMMYFUNCTION("""COMPUTED_VALUE"""),"Nu")</f>
        <v>Nu</v>
      </c>
      <c r="G238" s="24" t="str">
        <f>IFERROR(__xludf.DUMMYFUNCTION("""COMPUTED_VALUE"""),"Chicago")</f>
        <v>Chicago</v>
      </c>
      <c r="H238" s="24" t="str">
        <f>IFERROR(__xludf.DUMMYFUNCTION("""COMPUTED_VALUE"""),"AlixPartners")</f>
        <v>AlixPartners</v>
      </c>
      <c r="I238" s="24" t="str">
        <f>IFERROR(__xludf.DUMMYFUNCTION("""COMPUTED_VALUE"""),"Corporate Strategy&amp; Transofrmation Consultant")</f>
        <v>Corporate Strategy&amp; Transofrmation Consultant</v>
      </c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5" t="str">
        <f>IFERROR(__xludf.DUMMYFUNCTION("""COMPUTED_VALUE"""),"Hattie")</f>
        <v>Hattie</v>
      </c>
      <c r="B239" s="5" t="str">
        <f>IFERROR(__xludf.DUMMYFUNCTION("""COMPUTED_VALUE"""),"Fu")</f>
        <v>Fu</v>
      </c>
      <c r="C239" s="43" t="str">
        <f>IFERROR(__xludf.DUMMYFUNCTION("""COMPUTED_VALUE"""),"(614) 477-0350")</f>
        <v>(614) 477-0350</v>
      </c>
      <c r="D239" s="5" t="str">
        <f>IFERROR(__xludf.DUMMYFUNCTION("""COMPUTED_VALUE"""),"sallyhortensia@gmail.com")</f>
        <v>sallyhortensia@gmail.com</v>
      </c>
      <c r="E239" s="5">
        <f>IFERROR(__xludf.DUMMYFUNCTION("""COMPUTED_VALUE"""),2023.0)</f>
        <v>2023</v>
      </c>
      <c r="F239" s="7" t="str">
        <f>IFERROR(__xludf.DUMMYFUNCTION("""COMPUTED_VALUE"""),"Omicron")</f>
        <v>Omicron</v>
      </c>
      <c r="G239" s="5" t="str">
        <f>IFERROR(__xludf.DUMMYFUNCTION("""COMPUTED_VALUE"""),"Chicago")</f>
        <v>Chicago</v>
      </c>
      <c r="H239" s="5" t="str">
        <f>IFERROR(__xludf.DUMMYFUNCTION("""COMPUTED_VALUE"""),"International Recruiting LLC")</f>
        <v>International Recruiting LLC</v>
      </c>
      <c r="I239" s="5" t="str">
        <f>IFERROR(__xludf.DUMMYFUNCTION("""COMPUTED_VALUE"""),"Talent Acquisition and Business Development Consultant")</f>
        <v>Talent Acquisition and Business Development Consultant</v>
      </c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5" t="str">
        <f>IFERROR(__xludf.DUMMYFUNCTION("""COMPUTED_VALUE"""),"Noah")</f>
        <v>Noah</v>
      </c>
      <c r="B240" s="5" t="str">
        <f>IFERROR(__xludf.DUMMYFUNCTION("""COMPUTED_VALUE"""),"Limmer")</f>
        <v>Limmer</v>
      </c>
      <c r="C240" s="43" t="str">
        <f>IFERROR(__xludf.DUMMYFUNCTION("""COMPUTED_VALUE"""),"(908) 721-8861")</f>
        <v>(908) 721-8861</v>
      </c>
      <c r="D240" s="5" t="str">
        <f>IFERROR(__xludf.DUMMYFUNCTION("""COMPUTED_VALUE"""),"noahclimmer@gmail.com")</f>
        <v>noahclimmer@gmail.com</v>
      </c>
      <c r="E240" s="5">
        <f>IFERROR(__xludf.DUMMYFUNCTION("""COMPUTED_VALUE"""),2023.0)</f>
        <v>2023</v>
      </c>
      <c r="F240" s="7" t="str">
        <f>IFERROR(__xludf.DUMMYFUNCTION("""COMPUTED_VALUE"""),"Nu")</f>
        <v>Nu</v>
      </c>
      <c r="G240" s="5" t="str">
        <f>IFERROR(__xludf.DUMMYFUNCTION("""COMPUTED_VALUE"""),"Chicago")</f>
        <v>Chicago</v>
      </c>
      <c r="H240" s="5" t="str">
        <f>IFERROR(__xludf.DUMMYFUNCTION("""COMPUTED_VALUE"""),"PwC")</f>
        <v>PwC</v>
      </c>
      <c r="I240" s="5" t="str">
        <f>IFERROR(__xludf.DUMMYFUNCTION("""COMPUTED_VALUE"""),"Deals Transformation Associate")</f>
        <v>Deals Transformation Associate</v>
      </c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5" t="str">
        <f>IFERROR(__xludf.DUMMYFUNCTION("""COMPUTED_VALUE"""),"Claire")</f>
        <v>Claire</v>
      </c>
      <c r="B241" s="5" t="str">
        <f>IFERROR(__xludf.DUMMYFUNCTION("""COMPUTED_VALUE"""),"Muhvic")</f>
        <v>Muhvic</v>
      </c>
      <c r="C241" s="43" t="str">
        <f>IFERROR(__xludf.DUMMYFUNCTION("""COMPUTED_VALUE"""),"(224) 242-0060")</f>
        <v>(224) 242-0060</v>
      </c>
      <c r="D241" s="5" t="str">
        <f>IFERROR(__xludf.DUMMYFUNCTION("""COMPUTED_VALUE"""),"cbmuh44@gmail.com")</f>
        <v>cbmuh44@gmail.com</v>
      </c>
      <c r="E241" s="5">
        <f>IFERROR(__xludf.DUMMYFUNCTION("""COMPUTED_VALUE"""),2023.0)</f>
        <v>2023</v>
      </c>
      <c r="F241" s="7" t="str">
        <f>IFERROR(__xludf.DUMMYFUNCTION("""COMPUTED_VALUE"""),"Pi")</f>
        <v>Pi</v>
      </c>
      <c r="G241" s="5" t="str">
        <f>IFERROR(__xludf.DUMMYFUNCTION("""COMPUTED_VALUE"""),"Chicago")</f>
        <v>Chicago</v>
      </c>
      <c r="H241" s="5" t="str">
        <f>IFERROR(__xludf.DUMMYFUNCTION("""COMPUTED_VALUE"""),"PwC")</f>
        <v>PwC</v>
      </c>
      <c r="I241" s="5" t="str">
        <f>IFERROR(__xludf.DUMMYFUNCTION("""COMPUTED_VALUE"""),"Finance Transformation Associate")</f>
        <v>Finance Transformation Associate</v>
      </c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24" t="str">
        <f>IFERROR(__xludf.DUMMYFUNCTION("""COMPUTED_VALUE"""),"Alex")</f>
        <v>Alex</v>
      </c>
      <c r="B242" s="24" t="str">
        <f>IFERROR(__xludf.DUMMYFUNCTION("""COMPUTED_VALUE"""),"Pizov")</f>
        <v>Pizov</v>
      </c>
      <c r="C242" s="43" t="str">
        <f>IFERROR(__xludf.DUMMYFUNCTION("""COMPUTED_VALUE"""),"(412) 439-7053")</f>
        <v>(412) 439-7053</v>
      </c>
      <c r="D242" s="25" t="str">
        <f>IFERROR(__xludf.DUMMYFUNCTION("""COMPUTED_VALUE"""),"alexpizov@gmail.com")</f>
        <v>alexpizov@gmail.com</v>
      </c>
      <c r="E242" s="24">
        <f>IFERROR(__xludf.DUMMYFUNCTION("""COMPUTED_VALUE"""),2023.0)</f>
        <v>2023</v>
      </c>
      <c r="F242" s="5" t="str">
        <f>IFERROR(__xludf.DUMMYFUNCTION("""COMPUTED_VALUE"""),"Xi")</f>
        <v>Xi</v>
      </c>
      <c r="G242" s="24" t="str">
        <f>IFERROR(__xludf.DUMMYFUNCTION("""COMPUTED_VALUE"""),"Chicago")</f>
        <v>Chicago</v>
      </c>
      <c r="H242" s="24" t="str">
        <f>IFERROR(__xludf.DUMMYFUNCTION("""COMPUTED_VALUE"""),"Deloitte")</f>
        <v>Deloitte</v>
      </c>
      <c r="I242" s="24" t="str">
        <f>IFERROR(__xludf.DUMMYFUNCTION("""COMPUTED_VALUE"""),"Audit and Assurance Senior Assistant")</f>
        <v>Audit and Assurance Senior Assistant</v>
      </c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5" t="str">
        <f>IFERROR(__xludf.DUMMYFUNCTION("""COMPUTED_VALUE"""),"Declan")</f>
        <v>Declan</v>
      </c>
      <c r="B243" s="5" t="str">
        <f>IFERROR(__xludf.DUMMYFUNCTION("""COMPUTED_VALUE"""),"Rooney")</f>
        <v>Rooney</v>
      </c>
      <c r="C243" s="43" t="str">
        <f>IFERROR(__xludf.DUMMYFUNCTION("""COMPUTED_VALUE"""),"(970) 471-6486")</f>
        <v>(970) 471-6486</v>
      </c>
      <c r="D243" s="5" t="str">
        <f>IFERROR(__xludf.DUMMYFUNCTION("""COMPUTED_VALUE"""),"declanrooney33@gmail.com")</f>
        <v>declanrooney33@gmail.com</v>
      </c>
      <c r="E243" s="5">
        <f>IFERROR(__xludf.DUMMYFUNCTION("""COMPUTED_VALUE"""),2023.0)</f>
        <v>2023</v>
      </c>
      <c r="F243" s="7" t="str">
        <f>IFERROR(__xludf.DUMMYFUNCTION("""COMPUTED_VALUE"""),"Xi")</f>
        <v>Xi</v>
      </c>
      <c r="G243" s="5" t="str">
        <f>IFERROR(__xludf.DUMMYFUNCTION("""COMPUTED_VALUE"""),"Chicago")</f>
        <v>Chicago</v>
      </c>
      <c r="H243" s="5" t="str">
        <f>IFERROR(__xludf.DUMMYFUNCTION("""COMPUTED_VALUE"""),"EY")</f>
        <v>EY</v>
      </c>
      <c r="I243" s="5" t="str">
        <f>IFERROR(__xludf.DUMMYFUNCTION("""COMPUTED_VALUE"""),"Financial Services Consultant")</f>
        <v>Financial Services Consultant</v>
      </c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5" t="str">
        <f>IFERROR(__xludf.DUMMYFUNCTION("""COMPUTED_VALUE"""),"Pearson")</f>
        <v>Pearson</v>
      </c>
      <c r="B244" s="5" t="str">
        <f>IFERROR(__xludf.DUMMYFUNCTION("""COMPUTED_VALUE"""),"Spychalski")</f>
        <v>Spychalski</v>
      </c>
      <c r="C244" s="43" t="str">
        <f>IFERROR(__xludf.DUMMYFUNCTION("""COMPUTED_VALUE"""),"(614) 619-2812")</f>
        <v>(614) 619-2812</v>
      </c>
      <c r="D244" s="5" t="str">
        <f>IFERROR(__xludf.DUMMYFUNCTION("""COMPUTED_VALUE"""),"spychalskidps@gmail.com")</f>
        <v>spychalskidps@gmail.com</v>
      </c>
      <c r="E244" s="5">
        <f>IFERROR(__xludf.DUMMYFUNCTION("""COMPUTED_VALUE"""),2023.0)</f>
        <v>2023</v>
      </c>
      <c r="F244" s="7" t="str">
        <f>IFERROR(__xludf.DUMMYFUNCTION("""COMPUTED_VALUE"""),"Xi")</f>
        <v>Xi</v>
      </c>
      <c r="G244" s="5" t="str">
        <f>IFERROR(__xludf.DUMMYFUNCTION("""COMPUTED_VALUE"""),"Chicago")</f>
        <v>Chicago</v>
      </c>
      <c r="H244" s="5" t="str">
        <f>IFERROR(__xludf.DUMMYFUNCTION("""COMPUTED_VALUE"""),"Bain")</f>
        <v>Bain</v>
      </c>
      <c r="I244" s="5" t="str">
        <f>IFERROR(__xludf.DUMMYFUNCTION("""COMPUTED_VALUE"""),"Associate Consultant")</f>
        <v>Associate Consultant</v>
      </c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1" t="str">
        <f>IFERROR(__xludf.DUMMYFUNCTION("""COMPUTED_VALUE"""),"Sean")</f>
        <v>Sean</v>
      </c>
      <c r="B245" s="41" t="str">
        <f>IFERROR(__xludf.DUMMYFUNCTION("""COMPUTED_VALUE"""),"Cusak")</f>
        <v>Cusak</v>
      </c>
      <c r="C245" s="45" t="str">
        <f>IFERROR(__xludf.DUMMYFUNCTION("""COMPUTED_VALUE"""),"(440) 468-9135")</f>
        <v>(440) 468-9135</v>
      </c>
      <c r="D245" s="45" t="str">
        <f>IFERROR(__xludf.DUMMYFUNCTION("""COMPUTED_VALUE"""),"cusack.34@buckeyemail.osu.edu")</f>
        <v>cusack.34@buckeyemail.osu.edu</v>
      </c>
      <c r="E245" s="41">
        <f>IFERROR(__xludf.DUMMYFUNCTION("""COMPUTED_VALUE"""),2023.0)</f>
        <v>2023</v>
      </c>
      <c r="F245" s="41" t="str">
        <f>IFERROR(__xludf.DUMMYFUNCTION("""COMPUTED_VALUE"""),"Pi")</f>
        <v>Pi</v>
      </c>
      <c r="G245" s="41" t="str">
        <f>IFERROR(__xludf.DUMMYFUNCTION("""COMPUTED_VALUE"""),"Cleveland")</f>
        <v>Cleveland</v>
      </c>
      <c r="H245" s="45" t="str">
        <f>IFERROR(__xludf.DUMMYFUNCTION("""COMPUTED_VALUE"""),"Keybank")</f>
        <v>Keybank</v>
      </c>
      <c r="I245" s="45" t="str">
        <f>IFERROR(__xludf.DUMMYFUNCTION("""COMPUTED_VALUE"""),"Finance Analyst")</f>
        <v>Finance Analyst</v>
      </c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1" t="str">
        <f>IFERROR(__xludf.DUMMYFUNCTION("""COMPUTED_VALUE"""),"Patrick")</f>
        <v>Patrick</v>
      </c>
      <c r="B246" s="41" t="str">
        <f>IFERROR(__xludf.DUMMYFUNCTION("""COMPUTED_VALUE"""),"Fitz")</f>
        <v>Fitz</v>
      </c>
      <c r="C246" s="45" t="str">
        <f>IFERROR(__xludf.DUMMYFUNCTION("""COMPUTED_VALUE"""),"(440) 222-5122")</f>
        <v>(440) 222-5122</v>
      </c>
      <c r="D246" s="45" t="str">
        <f>IFERROR(__xludf.DUMMYFUNCTION("""COMPUTED_VALUE"""),"patricktfitz@gmail.com")</f>
        <v>patricktfitz@gmail.com</v>
      </c>
      <c r="E246" s="41">
        <f>IFERROR(__xludf.DUMMYFUNCTION("""COMPUTED_VALUE"""),2023.0)</f>
        <v>2023</v>
      </c>
      <c r="F246" s="41" t="str">
        <f>IFERROR(__xludf.DUMMYFUNCTION("""COMPUTED_VALUE"""),"Nu")</f>
        <v>Nu</v>
      </c>
      <c r="G246" s="41" t="str">
        <f>IFERROR(__xludf.DUMMYFUNCTION("""COMPUTED_VALUE"""),"Cleveland")</f>
        <v>Cleveland</v>
      </c>
      <c r="H246" s="45" t="str">
        <f>IFERROR(__xludf.DUMMYFUNCTION("""COMPUTED_VALUE"""),"KeyBanc Capital Markets")</f>
        <v>KeyBanc Capital Markets</v>
      </c>
      <c r="I246" s="45" t="str">
        <f>IFERROR(__xludf.DUMMYFUNCTION("""COMPUTED_VALUE"""),"Investment Banking Analyst")</f>
        <v>Investment Banking Analyst</v>
      </c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5" t="str">
        <f>IFERROR(__xludf.DUMMYFUNCTION("""COMPUTED_VALUE"""),"Grant")</f>
        <v>Grant</v>
      </c>
      <c r="B247" s="5" t="str">
        <f>IFERROR(__xludf.DUMMYFUNCTION("""COMPUTED_VALUE"""),"Smith")</f>
        <v>Smith</v>
      </c>
      <c r="C247" s="43" t="str">
        <f>IFERROR(__xludf.DUMMYFUNCTION("""COMPUTED_VALUE"""),"(216) 970-6998")</f>
        <v>(216) 970-6998</v>
      </c>
      <c r="D247" s="5" t="str">
        <f>IFERROR(__xludf.DUMMYFUNCTION("""COMPUTED_VALUE"""),"Gnsmith1321@gmail.com")</f>
        <v>Gnsmith1321@gmail.com</v>
      </c>
      <c r="E247" s="5">
        <f>IFERROR(__xludf.DUMMYFUNCTION("""COMPUTED_VALUE"""),2023.0)</f>
        <v>2023</v>
      </c>
      <c r="F247" s="7" t="str">
        <f>IFERROR(__xludf.DUMMYFUNCTION("""COMPUTED_VALUE"""),"Omicron")</f>
        <v>Omicron</v>
      </c>
      <c r="G247" s="5" t="str">
        <f>IFERROR(__xludf.DUMMYFUNCTION("""COMPUTED_VALUE"""),"Cleveland")</f>
        <v>Cleveland</v>
      </c>
      <c r="H247" s="5" t="str">
        <f>IFERROR(__xludf.DUMMYFUNCTION("""COMPUTED_VALUE"""),"Keybanc Capital Markets")</f>
        <v>Keybanc Capital Markets</v>
      </c>
      <c r="I247" s="5" t="str">
        <f>IFERROR(__xludf.DUMMYFUNCTION("""COMPUTED_VALUE"""),"Investment Banking Analyst")</f>
        <v>Investment Banking Analyst</v>
      </c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5" t="str">
        <f>IFERROR(__xludf.DUMMYFUNCTION("""COMPUTED_VALUE"""),"Alex")</f>
        <v>Alex</v>
      </c>
      <c r="B248" s="5" t="str">
        <f>IFERROR(__xludf.DUMMYFUNCTION("""COMPUTED_VALUE"""),"Stamatis")</f>
        <v>Stamatis</v>
      </c>
      <c r="C248" s="43" t="str">
        <f>IFERROR(__xludf.DUMMYFUNCTION("""COMPUTED_VALUE"""),"(440) 822-0186")</f>
        <v>(440) 822-0186</v>
      </c>
      <c r="D248" s="5" t="str">
        <f>IFERROR(__xludf.DUMMYFUNCTION("""COMPUTED_VALUE"""),"alexander.j.stamatis@gmail.com")</f>
        <v>alexander.j.stamatis@gmail.com</v>
      </c>
      <c r="E248" s="5">
        <f>IFERROR(__xludf.DUMMYFUNCTION("""COMPUTED_VALUE"""),2023.0)</f>
        <v>2023</v>
      </c>
      <c r="F248" s="7" t="str">
        <f>IFERROR(__xludf.DUMMYFUNCTION("""COMPUTED_VALUE"""),"Xi")</f>
        <v>Xi</v>
      </c>
      <c r="G248" s="5" t="str">
        <f>IFERROR(__xludf.DUMMYFUNCTION("""COMPUTED_VALUE"""),"Cleveland")</f>
        <v>Cleveland</v>
      </c>
      <c r="H248" s="5" t="str">
        <f>IFERROR(__xludf.DUMMYFUNCTION("""COMPUTED_VALUE"""),"Materion Corporation")</f>
        <v>Materion Corporation</v>
      </c>
      <c r="I248" s="5" t="str">
        <f>IFERROR(__xludf.DUMMYFUNCTION("""COMPUTED_VALUE"""),"Finance Associate")</f>
        <v>Finance Associate</v>
      </c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5" t="str">
        <f>IFERROR(__xludf.DUMMYFUNCTION("""COMPUTED_VALUE"""),"Logan")</f>
        <v>Logan</v>
      </c>
      <c r="B249" s="5" t="str">
        <f>IFERROR(__xludf.DUMMYFUNCTION("""COMPUTED_VALUE"""),"Bridegum")</f>
        <v>Bridegum</v>
      </c>
      <c r="C249" s="43" t="str">
        <f>IFERROR(__xludf.DUMMYFUNCTION("""COMPUTED_VALUE"""),"(440) 666-2446")</f>
        <v>(440) 666-2446</v>
      </c>
      <c r="D249" s="5" t="str">
        <f>IFERROR(__xludf.DUMMYFUNCTION("""COMPUTED_VALUE"""),"bridegum.logan@gmail.com")</f>
        <v>bridegum.logan@gmail.com</v>
      </c>
      <c r="E249" s="5">
        <f>IFERROR(__xludf.DUMMYFUNCTION("""COMPUTED_VALUE"""),2023.0)</f>
        <v>2023</v>
      </c>
      <c r="F249" s="7" t="str">
        <f>IFERROR(__xludf.DUMMYFUNCTION("""COMPUTED_VALUE"""),"Nu")</f>
        <v>Nu</v>
      </c>
      <c r="G249" s="5" t="str">
        <f>IFERROR(__xludf.DUMMYFUNCTION("""COMPUTED_VALUE"""),"Columbus")</f>
        <v>Columbus</v>
      </c>
      <c r="H249" s="5" t="str">
        <f>IFERROR(__xludf.DUMMYFUNCTION("""COMPUTED_VALUE"""),"Amazon")</f>
        <v>Amazon</v>
      </c>
      <c r="I249" s="5" t="str">
        <f>IFERROR(__xludf.DUMMYFUNCTION("""COMPUTED_VALUE"""),"Area Manager")</f>
        <v>Area Manager</v>
      </c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24" t="str">
        <f>IFERROR(__xludf.DUMMYFUNCTION("""COMPUTED_VALUE"""),"Ziqi")</f>
        <v>Ziqi</v>
      </c>
      <c r="B250" s="24" t="str">
        <f>IFERROR(__xludf.DUMMYFUNCTION("""COMPUTED_VALUE"""),"Chen")</f>
        <v>Chen</v>
      </c>
      <c r="C250" s="43" t="str">
        <f>IFERROR(__xludf.DUMMYFUNCTION("""COMPUTED_VALUE"""),"(614) 929-0668")</f>
        <v>(614) 929-0668</v>
      </c>
      <c r="D250" s="25" t="str">
        <f>IFERROR(__xludf.DUMMYFUNCTION("""COMPUTED_VALUE"""),"ziqichen2001@gmail.com")</f>
        <v>ziqichen2001@gmail.com</v>
      </c>
      <c r="E250" s="24">
        <f>IFERROR(__xludf.DUMMYFUNCTION("""COMPUTED_VALUE"""),2023.0)</f>
        <v>2023</v>
      </c>
      <c r="F250" s="5" t="str">
        <f>IFERROR(__xludf.DUMMYFUNCTION("""COMPUTED_VALUE"""),"Omicron")</f>
        <v>Omicron</v>
      </c>
      <c r="G250" s="24" t="str">
        <f>IFERROR(__xludf.DUMMYFUNCTION("""COMPUTED_VALUE"""),"Columbus")</f>
        <v>Columbus</v>
      </c>
      <c r="H250" s="24" t="str">
        <f>IFERROR(__xludf.DUMMYFUNCTION("""COMPUTED_VALUE"""),"McKinsey")</f>
        <v>McKinsey</v>
      </c>
      <c r="I250" s="24" t="str">
        <f>IFERROR(__xludf.DUMMYFUNCTION("""COMPUTED_VALUE"""),"Business Analyst")</f>
        <v>Business Analyst</v>
      </c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5" t="str">
        <f>IFERROR(__xludf.DUMMYFUNCTION("""COMPUTED_VALUE"""),"Albert")</f>
        <v>Albert</v>
      </c>
      <c r="B251" s="5" t="str">
        <f>IFERROR(__xludf.DUMMYFUNCTION("""COMPUTED_VALUE"""),"He")</f>
        <v>He</v>
      </c>
      <c r="C251" s="43" t="str">
        <f>IFERROR(__xludf.DUMMYFUNCTION("""COMPUTED_VALUE"""),"(267) 885-9190")</f>
        <v>(267) 885-9190</v>
      </c>
      <c r="D251" s="5" t="str">
        <f>IFERROR(__xludf.DUMMYFUNCTION("""COMPUTED_VALUE"""),"a4he2001@gmail.com")</f>
        <v>a4he2001@gmail.com</v>
      </c>
      <c r="E251" s="5">
        <f>IFERROR(__xludf.DUMMYFUNCTION("""COMPUTED_VALUE"""),2023.0)</f>
        <v>2023</v>
      </c>
      <c r="F251" s="11" t="str">
        <f>IFERROR(__xludf.DUMMYFUNCTION("""COMPUTED_VALUE"""),"Pi")</f>
        <v>Pi</v>
      </c>
      <c r="G251" s="5" t="str">
        <f>IFERROR(__xludf.DUMMYFUNCTION("""COMPUTED_VALUE"""),"Columbus")</f>
        <v>Columbus</v>
      </c>
      <c r="H251" s="5" t="str">
        <f>IFERROR(__xludf.DUMMYFUNCTION("""COMPUTED_VALUE"""),"PwC")</f>
        <v>PwC</v>
      </c>
      <c r="I251" s="5" t="str">
        <f>IFERROR(__xludf.DUMMYFUNCTION("""COMPUTED_VALUE"""),"Assurance Associate")</f>
        <v>Assurance Associate</v>
      </c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24" t="str">
        <f>IFERROR(__xludf.DUMMYFUNCTION("""COMPUTED_VALUE"""),"Pradnya")</f>
        <v>Pradnya</v>
      </c>
      <c r="B252" s="24" t="str">
        <f>IFERROR(__xludf.DUMMYFUNCTION("""COMPUTED_VALUE"""),"Karne")</f>
        <v>Karne</v>
      </c>
      <c r="C252" s="43" t="str">
        <f>IFERROR(__xludf.DUMMYFUNCTION("""COMPUTED_VALUE"""),"(703) 217-5404")</f>
        <v>(703) 217-5404</v>
      </c>
      <c r="D252" s="25" t="str">
        <f>IFERROR(__xludf.DUMMYFUNCTION("""COMPUTED_VALUE"""),"pradnya.karne@gmail.com")</f>
        <v>pradnya.karne@gmail.com</v>
      </c>
      <c r="E252" s="24">
        <f>IFERROR(__xludf.DUMMYFUNCTION("""COMPUTED_VALUE"""),2023.0)</f>
        <v>2023</v>
      </c>
      <c r="F252" s="5" t="str">
        <f>IFERROR(__xludf.DUMMYFUNCTION("""COMPUTED_VALUE"""),"Omicron")</f>
        <v>Omicron</v>
      </c>
      <c r="G252" s="24" t="str">
        <f>IFERROR(__xludf.DUMMYFUNCTION("""COMPUTED_VALUE"""),"Columbus")</f>
        <v>Columbus</v>
      </c>
      <c r="H252" s="24" t="str">
        <f>IFERROR(__xludf.DUMMYFUNCTION("""COMPUTED_VALUE"""),"Deloitte")</f>
        <v>Deloitte</v>
      </c>
      <c r="I252" s="24" t="str">
        <f>IFERROR(__xludf.DUMMYFUNCTION("""COMPUTED_VALUE"""),"Business Technology Solutions Analyst")</f>
        <v>Business Technology Solutions Analyst</v>
      </c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24" t="str">
        <f>IFERROR(__xludf.DUMMYFUNCTION("""COMPUTED_VALUE"""),"Arthur")</f>
        <v>Arthur</v>
      </c>
      <c r="B253" s="24" t="str">
        <f>IFERROR(__xludf.DUMMYFUNCTION("""COMPUTED_VALUE"""),"Liu")</f>
        <v>Liu</v>
      </c>
      <c r="C253" s="43" t="str">
        <f>IFERROR(__xludf.DUMMYFUNCTION("""COMPUTED_VALUE"""),"(419) 690-6914")</f>
        <v>(419) 690-6914</v>
      </c>
      <c r="D253" s="25" t="str">
        <f>IFERROR(__xludf.DUMMYFUNCTION("""COMPUTED_VALUE"""),"arthur_liu@yahoo.com")</f>
        <v>arthur_liu@yahoo.com</v>
      </c>
      <c r="E253" s="24">
        <f>IFERROR(__xludf.DUMMYFUNCTION("""COMPUTED_VALUE"""),2023.0)</f>
        <v>2023</v>
      </c>
      <c r="F253" s="5" t="str">
        <f>IFERROR(__xludf.DUMMYFUNCTION("""COMPUTED_VALUE"""),"Omicron")</f>
        <v>Omicron</v>
      </c>
      <c r="G253" s="24" t="str">
        <f>IFERROR(__xludf.DUMMYFUNCTION("""COMPUTED_VALUE"""),"Columbus")</f>
        <v>Columbus</v>
      </c>
      <c r="H253" s="24" t="str">
        <f>IFERROR(__xludf.DUMMYFUNCTION("""COMPUTED_VALUE"""),"Formerly Abercrombie and Fitch")</f>
        <v>Formerly Abercrombie and Fitch</v>
      </c>
      <c r="I253" s="24" t="str">
        <f>IFERROR(__xludf.DUMMYFUNCTION("""COMPUTED_VALUE"""),"Assistant Merchant ")</f>
        <v>Assistant Merchant </v>
      </c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5" t="str">
        <f>IFERROR(__xludf.DUMMYFUNCTION("""COMPUTED_VALUE"""),"Lucas")</f>
        <v>Lucas</v>
      </c>
      <c r="B254" s="5" t="str">
        <f>IFERROR(__xludf.DUMMYFUNCTION("""COMPUTED_VALUE"""),"Mattingly")</f>
        <v>Mattingly</v>
      </c>
      <c r="C254" s="43" t="str">
        <f>IFERROR(__xludf.DUMMYFUNCTION("""COMPUTED_VALUE"""),"(419) 581-0597")</f>
        <v>(419) 581-0597</v>
      </c>
      <c r="D254" s="5" t="str">
        <f>IFERROR(__xludf.DUMMYFUNCTION("""COMPUTED_VALUE"""),"Lmattingly2001@gmail.com")</f>
        <v>Lmattingly2001@gmail.com</v>
      </c>
      <c r="E254" s="5">
        <f>IFERROR(__xludf.DUMMYFUNCTION("""COMPUTED_VALUE"""),2023.0)</f>
        <v>2023</v>
      </c>
      <c r="F254" s="7" t="str">
        <f>IFERROR(__xludf.DUMMYFUNCTION("""COMPUTED_VALUE"""),"Pi")</f>
        <v>Pi</v>
      </c>
      <c r="G254" s="5" t="str">
        <f>IFERROR(__xludf.DUMMYFUNCTION("""COMPUTED_VALUE"""),"Columbus")</f>
        <v>Columbus</v>
      </c>
      <c r="H254" s="5" t="str">
        <f>IFERROR(__xludf.DUMMYFUNCTION("""COMPUTED_VALUE"""),"PwC")</f>
        <v>PwC</v>
      </c>
      <c r="I254" s="5" t="str">
        <f>IFERROR(__xludf.DUMMYFUNCTION("""COMPUTED_VALUE"""),"Assurance Associate")</f>
        <v>Assurance Associate</v>
      </c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5" t="str">
        <f>IFERROR(__xludf.DUMMYFUNCTION("""COMPUTED_VALUE"""),"Rachel")</f>
        <v>Rachel</v>
      </c>
      <c r="B255" s="5" t="str">
        <f>IFERROR(__xludf.DUMMYFUNCTION("""COMPUTED_VALUE"""),"Rinaldi")</f>
        <v>Rinaldi</v>
      </c>
      <c r="C255" s="43" t="str">
        <f>IFERROR(__xludf.DUMMYFUNCTION("""COMPUTED_VALUE"""),"(614) 254-9004")</f>
        <v>(614) 254-9004</v>
      </c>
      <c r="D255" s="5" t="str">
        <f>IFERROR(__xludf.DUMMYFUNCTION("""COMPUTED_VALUE"""),"Rachelrinaldi6@gmail.com")</f>
        <v>Rachelrinaldi6@gmail.com</v>
      </c>
      <c r="E255" s="5">
        <f>IFERROR(__xludf.DUMMYFUNCTION("""COMPUTED_VALUE"""),2023.0)</f>
        <v>2023</v>
      </c>
      <c r="F255" s="7" t="str">
        <f>IFERROR(__xludf.DUMMYFUNCTION("""COMPUTED_VALUE"""),"Nu")</f>
        <v>Nu</v>
      </c>
      <c r="G255" s="5" t="str">
        <f>IFERROR(__xludf.DUMMYFUNCTION("""COMPUTED_VALUE"""),"Columbus")</f>
        <v>Columbus</v>
      </c>
      <c r="H255" s="5" t="str">
        <f>IFERROR(__xludf.DUMMYFUNCTION("""COMPUTED_VALUE"""),"Abercrombie and Fitch")</f>
        <v>Abercrombie and Fitch</v>
      </c>
      <c r="I255" s="5" t="str">
        <f>IFERROR(__xludf.DUMMYFUNCTION("""COMPUTED_VALUE"""),"Assistant Merchandise Planner")</f>
        <v>Assistant Merchandise Planner</v>
      </c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1" t="str">
        <f>IFERROR(__xludf.DUMMYFUNCTION("""COMPUTED_VALUE"""),"Corey")</f>
        <v>Corey</v>
      </c>
      <c r="B256" s="41" t="str">
        <f>IFERROR(__xludf.DUMMYFUNCTION("""COMPUTED_VALUE"""),"Sullivan")</f>
        <v>Sullivan</v>
      </c>
      <c r="C256" s="45" t="str">
        <f>IFERROR(__xludf.DUMMYFUNCTION("""COMPUTED_VALUE"""),"(513) 507-1209")</f>
        <v>(513) 507-1209</v>
      </c>
      <c r="D256" s="45" t="str">
        <f>IFERROR(__xludf.DUMMYFUNCTION("""COMPUTED_VALUE"""),"corey.r.sully@gmail.com")</f>
        <v>corey.r.sully@gmail.com</v>
      </c>
      <c r="E256" s="41">
        <f>IFERROR(__xludf.DUMMYFUNCTION("""COMPUTED_VALUE"""),2023.0)</f>
        <v>2023</v>
      </c>
      <c r="F256" s="41" t="str">
        <f>IFERROR(__xludf.DUMMYFUNCTION("""COMPUTED_VALUE"""),"Omicron")</f>
        <v>Omicron</v>
      </c>
      <c r="G256" s="41" t="str">
        <f>IFERROR(__xludf.DUMMYFUNCTION("""COMPUTED_VALUE"""),"Columbus")</f>
        <v>Columbus</v>
      </c>
      <c r="H256" s="45" t="str">
        <f>IFERROR(__xludf.DUMMYFUNCTION("""COMPUTED_VALUE"""),"JPMorgan Chase")</f>
        <v>JPMorgan Chase</v>
      </c>
      <c r="I256" s="45" t="str">
        <f>IFERROR(__xludf.DUMMYFUNCTION("""COMPUTED_VALUE"""),"Data Science Analyst")</f>
        <v>Data Science Analyst</v>
      </c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1" t="str">
        <f>IFERROR(__xludf.DUMMYFUNCTION("""COMPUTED_VALUE"""),"Tori")</f>
        <v>Tori</v>
      </c>
      <c r="B257" s="41" t="str">
        <f>IFERROR(__xludf.DUMMYFUNCTION("""COMPUTED_VALUE"""),"Warnock")</f>
        <v>Warnock</v>
      </c>
      <c r="C257" s="45" t="str">
        <f>IFERROR(__xludf.DUMMYFUNCTION("""COMPUTED_VALUE"""),"(740) 272-7196")</f>
        <v>(740) 272-7196</v>
      </c>
      <c r="D257" s="45" t="str">
        <f>IFERROR(__xludf.DUMMYFUNCTION("""COMPUTED_VALUE"""),"toriw417@gmail.com")</f>
        <v>toriw417@gmail.com</v>
      </c>
      <c r="E257" s="41">
        <f>IFERROR(__xludf.DUMMYFUNCTION("""COMPUTED_VALUE"""),2023.0)</f>
        <v>2023</v>
      </c>
      <c r="F257" s="41" t="str">
        <f>IFERROR(__xludf.DUMMYFUNCTION("""COMPUTED_VALUE"""),"Nu")</f>
        <v>Nu</v>
      </c>
      <c r="G257" s="41" t="str">
        <f>IFERROR(__xludf.DUMMYFUNCTION("""COMPUTED_VALUE"""),"Columbus")</f>
        <v>Columbus</v>
      </c>
      <c r="H257" s="45" t="str">
        <f>IFERROR(__xludf.DUMMYFUNCTION("""COMPUTED_VALUE"""),"Bath and Body Works")</f>
        <v>Bath and Body Works</v>
      </c>
      <c r="I257" s="45" t="str">
        <f>IFERROR(__xludf.DUMMYFUNCTION("""COMPUTED_VALUE"""),"Assistant Merchant")</f>
        <v>Assistant Merchant</v>
      </c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1" t="str">
        <f>IFERROR(__xludf.DUMMYFUNCTION("""COMPUTED_VALUE"""),"Lucas")</f>
        <v>Lucas</v>
      </c>
      <c r="B258" s="41" t="str">
        <f>IFERROR(__xludf.DUMMYFUNCTION("""COMPUTED_VALUE"""),"Tai")</f>
        <v>Tai</v>
      </c>
      <c r="C258" s="45" t="str">
        <f>IFERROR(__xludf.DUMMYFUNCTION("""COMPUTED_VALUE"""),"(216) 906-1560")</f>
        <v>(216) 906-1560</v>
      </c>
      <c r="D258" s="45" t="str">
        <f>IFERROR(__xludf.DUMMYFUNCTION("""COMPUTED_VALUE"""),"lucastai2015@gmail.com")</f>
        <v>lucastai2015@gmail.com</v>
      </c>
      <c r="E258" s="41">
        <f>IFERROR(__xludf.DUMMYFUNCTION("""COMPUTED_VALUE"""),2023.0)</f>
        <v>2023</v>
      </c>
      <c r="F258" s="41" t="str">
        <f>IFERROR(__xludf.DUMMYFUNCTION("""COMPUTED_VALUE"""),"Nu")</f>
        <v>Nu</v>
      </c>
      <c r="G258" s="41" t="str">
        <f>IFERROR(__xludf.DUMMYFUNCTION("""COMPUTED_VALUE"""),"Detroit")</f>
        <v>Detroit</v>
      </c>
      <c r="H258" s="45" t="str">
        <f>IFERROR(__xludf.DUMMYFUNCTION("""COMPUTED_VALUE"""),"Ford")</f>
        <v>Ford</v>
      </c>
      <c r="I258" s="45" t="str">
        <f>IFERROR(__xludf.DUMMYFUNCTION("""COMPUTED_VALUE"""),"Strategy and Planning")</f>
        <v>Strategy and Planning</v>
      </c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1" t="str">
        <f>IFERROR(__xludf.DUMMYFUNCTION("""COMPUTED_VALUE"""),"Anagh")</f>
        <v>Anagh</v>
      </c>
      <c r="B259" s="41" t="str">
        <f>IFERROR(__xludf.DUMMYFUNCTION("""COMPUTED_VALUE"""),"Kulkarni")</f>
        <v>Kulkarni</v>
      </c>
      <c r="C259" s="45" t="str">
        <f>IFERROR(__xludf.DUMMYFUNCTION("""COMPUTED_VALUE"""),"(513) 601-6270")</f>
        <v>(513) 601-6270</v>
      </c>
      <c r="D259" s="45" t="str">
        <f>IFERROR(__xludf.DUMMYFUNCTION("""COMPUTED_VALUE"""),"kulkarni.230@buckeyemail.osu.edu")</f>
        <v>kulkarni.230@buckeyemail.osu.edu</v>
      </c>
      <c r="E259" s="41">
        <f>IFERROR(__xludf.DUMMYFUNCTION("""COMPUTED_VALUE"""),2023.0)</f>
        <v>2023</v>
      </c>
      <c r="F259" s="41" t="str">
        <f>IFERROR(__xludf.DUMMYFUNCTION("""COMPUTED_VALUE"""),"Xi")</f>
        <v>Xi</v>
      </c>
      <c r="G259" s="41" t="str">
        <f>IFERROR(__xludf.DUMMYFUNCTION("""COMPUTED_VALUE"""),"Durham, NC")</f>
        <v>Durham, NC</v>
      </c>
      <c r="H259" s="45" t="str">
        <f>IFERROR(__xludf.DUMMYFUNCTION("""COMPUTED_VALUE"""),"Duke University")</f>
        <v>Duke University</v>
      </c>
      <c r="I259" s="45" t="str">
        <f>IFERROR(__xludf.DUMMYFUNCTION("""COMPUTED_VALUE"""),"MS2")</f>
        <v>MS2</v>
      </c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1" t="str">
        <f>IFERROR(__xludf.DUMMYFUNCTION("""COMPUTED_VALUE"""),"Trinity")</f>
        <v>Trinity</v>
      </c>
      <c r="B260" s="41" t="str">
        <f>IFERROR(__xludf.DUMMYFUNCTION("""COMPUTED_VALUE"""),"Riley")</f>
        <v>Riley</v>
      </c>
      <c r="C260" s="45" t="str">
        <f>IFERROR(__xludf.DUMMYFUNCTION("""COMPUTED_VALUE"""),"(330) 553-7977")</f>
        <v>(330) 553-7977</v>
      </c>
      <c r="D260" s="45" t="str">
        <f>IFERROR(__xludf.DUMMYFUNCTION("""COMPUTED_VALUE"""),"trinityariel18@gmail.com")</f>
        <v>trinityariel18@gmail.com</v>
      </c>
      <c r="E260" s="41">
        <f>IFERROR(__xludf.DUMMYFUNCTION("""COMPUTED_VALUE"""),2023.0)</f>
        <v>2023</v>
      </c>
      <c r="F260" s="41" t="str">
        <f>IFERROR(__xludf.DUMMYFUNCTION("""COMPUTED_VALUE"""),"Nu")</f>
        <v>Nu</v>
      </c>
      <c r="G260" s="41" t="str">
        <f>IFERROR(__xludf.DUMMYFUNCTION("""COMPUTED_VALUE"""),"Maryland")</f>
        <v>Maryland</v>
      </c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1" t="str">
        <f>IFERROR(__xludf.DUMMYFUNCTION("""COMPUTED_VALUE"""),"Michelle")</f>
        <v>Michelle</v>
      </c>
      <c r="B261" s="41" t="str">
        <f>IFERROR(__xludf.DUMMYFUNCTION("""COMPUTED_VALUE"""),"Guan")</f>
        <v>Guan</v>
      </c>
      <c r="C261" s="45" t="str">
        <f>IFERROR(__xludf.DUMMYFUNCTION("""COMPUTED_VALUE"""),"(330)-433-3280")</f>
        <v>(330)-433-3280</v>
      </c>
      <c r="D261" s="45" t="str">
        <f>IFERROR(__xludf.DUMMYFUNCTION("""COMPUTED_VALUE"""),"mishguan@gmail.com")</f>
        <v>mishguan@gmail.com</v>
      </c>
      <c r="E261" s="41">
        <f>IFERROR(__xludf.DUMMYFUNCTION("""COMPUTED_VALUE"""),2023.0)</f>
        <v>2023</v>
      </c>
      <c r="F261" s="41" t="str">
        <f>IFERROR(__xludf.DUMMYFUNCTION("""COMPUTED_VALUE"""),"Xi")</f>
        <v>Xi</v>
      </c>
      <c r="G261" s="41" t="str">
        <f>IFERROR(__xludf.DUMMYFUNCTION("""COMPUTED_VALUE"""),"New Jersey")</f>
        <v>New Jersey</v>
      </c>
      <c r="H261" s="45" t="str">
        <f>IFERROR(__xludf.DUMMYFUNCTION("""COMPUTED_VALUE"""),"Johnson &amp; Johnson")</f>
        <v>Johnson &amp; Johnson</v>
      </c>
      <c r="I261" s="45" t="str">
        <f>IFERROR(__xludf.DUMMYFUNCTION("""COMPUTED_VALUE"""),"Financial Analyst")</f>
        <v>Financial Analyst</v>
      </c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1" t="str">
        <f>IFERROR(__xludf.DUMMYFUNCTION("""COMPUTED_VALUE"""),"Stephie")</f>
        <v>Stephie</v>
      </c>
      <c r="B262" s="41" t="str">
        <f>IFERROR(__xludf.DUMMYFUNCTION("""COMPUTED_VALUE"""),"Choe")</f>
        <v>Choe</v>
      </c>
      <c r="C262" s="45" t="str">
        <f>IFERROR(__xludf.DUMMYFUNCTION("""COMPUTED_VALUE"""),"(614) 999-2340")</f>
        <v>(614) 999-2340</v>
      </c>
      <c r="D262" s="45" t="str">
        <f>IFERROR(__xludf.DUMMYFUNCTION("""COMPUTED_VALUE"""),"Choe.stephie@gmail.com")</f>
        <v>Choe.stephie@gmail.com</v>
      </c>
      <c r="E262" s="41">
        <f>IFERROR(__xludf.DUMMYFUNCTION("""COMPUTED_VALUE"""),2023.0)</f>
        <v>2023</v>
      </c>
      <c r="F262" s="41" t="str">
        <f>IFERROR(__xludf.DUMMYFUNCTION("""COMPUTED_VALUE"""),"Omicron")</f>
        <v>Omicron</v>
      </c>
      <c r="G262" s="41" t="str">
        <f>IFERROR(__xludf.DUMMYFUNCTION("""COMPUTED_VALUE"""),"New York")</f>
        <v>New York</v>
      </c>
      <c r="H262" s="45" t="str">
        <f>IFERROR(__xludf.DUMMYFUNCTION("""COMPUTED_VALUE"""),"Macy's")</f>
        <v>Macy's</v>
      </c>
      <c r="I262" s="45" t="str">
        <f>IFERROR(__xludf.DUMMYFUNCTION("""COMPUTED_VALUE"""),"Assistant Beauty Merchant")</f>
        <v>Assistant Beauty Merchant</v>
      </c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1" t="str">
        <f>IFERROR(__xludf.DUMMYFUNCTION("""COMPUTED_VALUE"""),"Hannah")</f>
        <v>Hannah</v>
      </c>
      <c r="B263" s="41" t="str">
        <f>IFERROR(__xludf.DUMMYFUNCTION("""COMPUTED_VALUE"""),"McCollough")</f>
        <v>McCollough</v>
      </c>
      <c r="C263" s="45" t="str">
        <f>IFERROR(__xludf.DUMMYFUNCTION("""COMPUTED_VALUE"""),"(513) 532-1164")</f>
        <v>(513) 532-1164</v>
      </c>
      <c r="D263" s="45" t="str">
        <f>IFERROR(__xludf.DUMMYFUNCTION("""COMPUTED_VALUE"""),"hsmccollough@gmail.com")</f>
        <v>hsmccollough@gmail.com</v>
      </c>
      <c r="E263" s="41">
        <f>IFERROR(__xludf.DUMMYFUNCTION("""COMPUTED_VALUE"""),2023.0)</f>
        <v>2023</v>
      </c>
      <c r="F263" s="41" t="str">
        <f>IFERROR(__xludf.DUMMYFUNCTION("""COMPUTED_VALUE"""),"Xi")</f>
        <v>Xi</v>
      </c>
      <c r="G263" s="41" t="str">
        <f>IFERROR(__xludf.DUMMYFUNCTION("""COMPUTED_VALUE"""),"New York")</f>
        <v>New York</v>
      </c>
      <c r="H263" s="45" t="str">
        <f>IFERROR(__xludf.DUMMYFUNCTION("""COMPUTED_VALUE"""),"NYU")</f>
        <v>NYU</v>
      </c>
      <c r="I263" s="45" t="str">
        <f>IFERROR(__xludf.DUMMYFUNCTION("""COMPUTED_VALUE"""),"JD Candidate")</f>
        <v>JD Candidate</v>
      </c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1" t="str">
        <f>IFERROR(__xludf.DUMMYFUNCTION("""COMPUTED_VALUE"""),"Sophia")</f>
        <v>Sophia</v>
      </c>
      <c r="B264" s="41" t="str">
        <f>IFERROR(__xludf.DUMMYFUNCTION("""COMPUTED_VALUE"""),"Scardon")</f>
        <v>Scardon</v>
      </c>
      <c r="C264" s="45" t="str">
        <f>IFERROR(__xludf.DUMMYFUNCTION("""COMPUTED_VALUE"""),"(614) 620-5259")</f>
        <v>(614) 620-5259</v>
      </c>
      <c r="D264" s="45" t="str">
        <f>IFERROR(__xludf.DUMMYFUNCTION("""COMPUTED_VALUE"""),"scs5259@gmail.com")</f>
        <v>scs5259@gmail.com</v>
      </c>
      <c r="E264" s="41">
        <f>IFERROR(__xludf.DUMMYFUNCTION("""COMPUTED_VALUE"""),2023.0)</f>
        <v>2023</v>
      </c>
      <c r="F264" s="41" t="str">
        <f>IFERROR(__xludf.DUMMYFUNCTION("""COMPUTED_VALUE"""),"Omicron")</f>
        <v>Omicron</v>
      </c>
      <c r="G264" s="41" t="str">
        <f>IFERROR(__xludf.DUMMYFUNCTION("""COMPUTED_VALUE"""),"Phoenix, Arizona")</f>
        <v>Phoenix, Arizona</v>
      </c>
      <c r="H264" s="45" t="str">
        <f>IFERROR(__xludf.DUMMYFUNCTION("""COMPUTED_VALUE"""),"Intel")</f>
        <v>Intel</v>
      </c>
      <c r="I264" s="45" t="str">
        <f>IFERROR(__xludf.DUMMYFUNCTION("""COMPUTED_VALUE"""),"Systems Engineer")</f>
        <v>Systems Engineer</v>
      </c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1" t="str">
        <f>IFERROR(__xludf.DUMMYFUNCTION("""COMPUTED_VALUE"""),"Kerrigan")</f>
        <v>Kerrigan</v>
      </c>
      <c r="B265" s="41" t="str">
        <f>IFERROR(__xludf.DUMMYFUNCTION("""COMPUTED_VALUE"""),"Hutchinson")</f>
        <v>Hutchinson</v>
      </c>
      <c r="C265" s="45" t="str">
        <f>IFERROR(__xludf.DUMMYFUNCTION("""COMPUTED_VALUE"""),"(419) 377-3400")</f>
        <v>(419) 377-3400</v>
      </c>
      <c r="D265" s="45" t="str">
        <f>IFERROR(__xludf.DUMMYFUNCTION("""COMPUTED_VALUE"""),"Kerriganhutchison@gmail.com")</f>
        <v>Kerriganhutchison@gmail.com</v>
      </c>
      <c r="E265" s="41">
        <f>IFERROR(__xludf.DUMMYFUNCTION("""COMPUTED_VALUE"""),2023.0)</f>
        <v>2023</v>
      </c>
      <c r="F265" s="41" t="str">
        <f>IFERROR(__xludf.DUMMYFUNCTION("""COMPUTED_VALUE"""),"Omicron")</f>
        <v>Omicron</v>
      </c>
      <c r="G265" s="41" t="str">
        <f>IFERROR(__xludf.DUMMYFUNCTION("""COMPUTED_VALUE"""),"San Francisco")</f>
        <v>San Francisco</v>
      </c>
      <c r="H265" s="45" t="str">
        <f>IFERROR(__xludf.DUMMYFUNCTION("""COMPUTED_VALUE"""),"Cain Brothers")</f>
        <v>Cain Brothers</v>
      </c>
      <c r="I265" s="45" t="str">
        <f>IFERROR(__xludf.DUMMYFUNCTION("""COMPUTED_VALUE"""),"Investment Banking Analyst")</f>
        <v>Investment Banking Analyst</v>
      </c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1" t="str">
        <f>IFERROR(__xludf.DUMMYFUNCTION("""COMPUTED_VALUE"""),"Ben")</f>
        <v>Ben</v>
      </c>
      <c r="B266" s="41" t="str">
        <f>IFERROR(__xludf.DUMMYFUNCTION("""COMPUTED_VALUE"""),"Adrian")</f>
        <v>Adrian</v>
      </c>
      <c r="C266" s="45" t="str">
        <f>IFERROR(__xludf.DUMMYFUNCTION("""COMPUTED_VALUE"""),"(678) 205-7683")</f>
        <v>(678) 205-7683</v>
      </c>
      <c r="D266" s="45" t="str">
        <f>IFERROR(__xludf.DUMMYFUNCTION("""COMPUTED_VALUE"""),"benjamincadrian@gmail.com")</f>
        <v>benjamincadrian@gmail.com</v>
      </c>
      <c r="E266" s="41">
        <f>IFERROR(__xludf.DUMMYFUNCTION("""COMPUTED_VALUE"""),2023.0)</f>
        <v>2023</v>
      </c>
      <c r="F266" s="41" t="str">
        <f>IFERROR(__xludf.DUMMYFUNCTION("""COMPUTED_VALUE"""),"Xi")</f>
        <v>Xi</v>
      </c>
      <c r="G266" s="41" t="str">
        <f>IFERROR(__xludf.DUMMYFUNCTION("""COMPUTED_VALUE"""),"Seattle")</f>
        <v>Seattle</v>
      </c>
      <c r="H266" s="45" t="str">
        <f>IFERROR(__xludf.DUMMYFUNCTION("""COMPUTED_VALUE"""),"Deloitte")</f>
        <v>Deloitte</v>
      </c>
      <c r="I266" s="45" t="str">
        <f>IFERROR(__xludf.DUMMYFUNCTION("""COMPUTED_VALUE"""),"Multistate Tax Services Consultant")</f>
        <v>Multistate Tax Services Consultant</v>
      </c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1" t="str">
        <f>IFERROR(__xludf.DUMMYFUNCTION("""COMPUTED_VALUE"""),"Jordan")</f>
        <v>Jordan</v>
      </c>
      <c r="B267" s="41" t="str">
        <f>IFERROR(__xludf.DUMMYFUNCTION("""COMPUTED_VALUE"""),"Chodak")</f>
        <v>Chodak</v>
      </c>
      <c r="C267" s="45" t="str">
        <f>IFERROR(__xludf.DUMMYFUNCTION("""COMPUTED_VALUE"""),"(740) 755-5801")</f>
        <v>(740) 755-5801</v>
      </c>
      <c r="D267" s="45" t="str">
        <f>IFERROR(__xludf.DUMMYFUNCTION("""COMPUTED_VALUE"""),"jordanchodak@gmail.com")</f>
        <v>jordanchodak@gmail.com</v>
      </c>
      <c r="E267" s="41">
        <f>IFERROR(__xludf.DUMMYFUNCTION("""COMPUTED_VALUE"""),2023.0)</f>
        <v>2023</v>
      </c>
      <c r="F267" s="41" t="str">
        <f>IFERROR(__xludf.DUMMYFUNCTION("""COMPUTED_VALUE"""),"Pi")</f>
        <v>Pi</v>
      </c>
      <c r="G267" s="41" t="str">
        <f>IFERROR(__xludf.DUMMYFUNCTION("""COMPUTED_VALUE"""),"Seattle")</f>
        <v>Seattle</v>
      </c>
      <c r="H267" s="45" t="str">
        <f>IFERROR(__xludf.DUMMYFUNCTION("""COMPUTED_VALUE"""),"Microsoft")</f>
        <v>Microsoft</v>
      </c>
      <c r="I267" s="45" t="str">
        <f>IFERROR(__xludf.DUMMYFUNCTION("""COMPUTED_VALUE"""),"Product Manager")</f>
        <v>Product Manager</v>
      </c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1" t="str">
        <f>IFERROR(__xludf.DUMMYFUNCTION("""COMPUTED_VALUE"""),"Lucas")</f>
        <v>Lucas</v>
      </c>
      <c r="B268" s="41" t="str">
        <f>IFERROR(__xludf.DUMMYFUNCTION("""COMPUTED_VALUE"""),"Zhang")</f>
        <v>Zhang</v>
      </c>
      <c r="C268" s="45" t="str">
        <f>IFERROR(__xludf.DUMMYFUNCTION("""COMPUTED_VALUE"""),"(513) 208-8930")</f>
        <v>(513) 208-8930</v>
      </c>
      <c r="D268" s="45" t="str">
        <f>IFERROR(__xludf.DUMMYFUNCTION("""COMPUTED_VALUE"""),"lucaszhang.12ll@gmail.com")</f>
        <v>lucaszhang.12ll@gmail.com</v>
      </c>
      <c r="E268" s="41">
        <f>IFERROR(__xludf.DUMMYFUNCTION("""COMPUTED_VALUE"""),2023.0)</f>
        <v>2023</v>
      </c>
      <c r="F268" s="41" t="str">
        <f>IFERROR(__xludf.DUMMYFUNCTION("""COMPUTED_VALUE"""),"Pi")</f>
        <v>Pi</v>
      </c>
      <c r="G268" s="41" t="str">
        <f>IFERROR(__xludf.DUMMYFUNCTION("""COMPUTED_VALUE"""),"Somerville")</f>
        <v>Somerville</v>
      </c>
      <c r="H268" s="45" t="str">
        <f>IFERROR(__xludf.DUMMYFUNCTION("""COMPUTED_VALUE"""),"KPMG")</f>
        <v>KPMG</v>
      </c>
      <c r="I268" s="45" t="str">
        <f>IFERROR(__xludf.DUMMYFUNCTION("""COMPUTED_VALUE"""),"Advisory Associate")</f>
        <v>Advisory Associate</v>
      </c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1" t="str">
        <f>IFERROR(__xludf.DUMMYFUNCTION("""COMPUTED_VALUE"""),"Kaylee")</f>
        <v>Kaylee</v>
      </c>
      <c r="B269" s="41" t="str">
        <f>IFERROR(__xludf.DUMMYFUNCTION("""COMPUTED_VALUE"""),"Chang")</f>
        <v>Chang</v>
      </c>
      <c r="C269" s="45" t="str">
        <f>IFERROR(__xludf.DUMMYFUNCTION("""COMPUTED_VALUE"""),"(630) 441-4965")</f>
        <v>(630) 441-4965</v>
      </c>
      <c r="D269" s="45" t="str">
        <f>IFERROR(__xludf.DUMMYFUNCTION("""COMPUTED_VALUE"""),"kayleerchang@gmail.com")</f>
        <v>kayleerchang@gmail.com</v>
      </c>
      <c r="E269" s="41">
        <f>IFERROR(__xludf.DUMMYFUNCTION("""COMPUTED_VALUE"""),2023.0)</f>
        <v>2023</v>
      </c>
      <c r="F269" s="41" t="str">
        <f>IFERROR(__xludf.DUMMYFUNCTION("""COMPUTED_VALUE"""),"Nu")</f>
        <v>Nu</v>
      </c>
      <c r="G269" s="41" t="str">
        <f>IFERROR(__xludf.DUMMYFUNCTION("""COMPUTED_VALUE"""),"Washington DC")</f>
        <v>Washington DC</v>
      </c>
      <c r="H269" s="45" t="str">
        <f>IFERROR(__xludf.DUMMYFUNCTION("""COMPUTED_VALUE"""),"Accenture")</f>
        <v>Accenture</v>
      </c>
      <c r="I269" s="45" t="str">
        <f>IFERROR(__xludf.DUMMYFUNCTION("""COMPUTED_VALUE"""),"Strategy Analyst")</f>
        <v>Strategy Analyst</v>
      </c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1" t="str">
        <f>IFERROR(__xludf.DUMMYFUNCTION("""COMPUTED_VALUE"""),"Scott")</f>
        <v>Scott</v>
      </c>
      <c r="B270" s="41" t="str">
        <f>IFERROR(__xludf.DUMMYFUNCTION("""COMPUTED_VALUE"""),"Gruber")</f>
        <v>Gruber</v>
      </c>
      <c r="C270" s="45" t="str">
        <f>IFERROR(__xludf.DUMMYFUNCTION("""COMPUTED_VALUE"""),"(702) 339-2244")</f>
        <v>(702) 339-2244</v>
      </c>
      <c r="D270" s="45" t="str">
        <f>IFERROR(__xludf.DUMMYFUNCTION("""COMPUTED_VALUE"""),"scottgruber17@gmail.com")</f>
        <v>scottgruber17@gmail.com</v>
      </c>
      <c r="E270" s="41">
        <f>IFERROR(__xludf.DUMMYFUNCTION("""COMPUTED_VALUE"""),2023.0)</f>
        <v>2023</v>
      </c>
      <c r="F270" s="41" t="str">
        <f>IFERROR(__xludf.DUMMYFUNCTION("""COMPUTED_VALUE"""),"Nu")</f>
        <v>Nu</v>
      </c>
      <c r="G270" s="41" t="str">
        <f>IFERROR(__xludf.DUMMYFUNCTION("""COMPUTED_VALUE"""),"Washington DC")</f>
        <v>Washington DC</v>
      </c>
      <c r="H270" s="45" t="str">
        <f>IFERROR(__xludf.DUMMYFUNCTION("""COMPUTED_VALUE"""),"United States Senate")</f>
        <v>United States Senate</v>
      </c>
      <c r="I270" s="45" t="str">
        <f>IFERROR(__xludf.DUMMYFUNCTION("""COMPUTED_VALUE"""),"Staff Assistant")</f>
        <v>Staff Assistant</v>
      </c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1" t="str">
        <f>IFERROR(__xludf.DUMMYFUNCTION("""COMPUTED_VALUE"""),"Katie")</f>
        <v>Katie</v>
      </c>
      <c r="B271" s="41" t="str">
        <f>IFERROR(__xludf.DUMMYFUNCTION("""COMPUTED_VALUE"""),"Weston")</f>
        <v>Weston</v>
      </c>
      <c r="C271" s="45" t="str">
        <f>IFERROR(__xludf.DUMMYFUNCTION("""COMPUTED_VALUE"""),"(703) 819-1932")</f>
        <v>(703) 819-1932</v>
      </c>
      <c r="D271" s="45" t="str">
        <f>IFERROR(__xludf.DUMMYFUNCTION("""COMPUTED_VALUE"""),"kweston5122@gmail.com")</f>
        <v>kweston5122@gmail.com</v>
      </c>
      <c r="E271" s="41">
        <f>IFERROR(__xludf.DUMMYFUNCTION("""COMPUTED_VALUE"""),2023.0)</f>
        <v>2023</v>
      </c>
      <c r="F271" s="41" t="str">
        <f>IFERROR(__xludf.DUMMYFUNCTION("""COMPUTED_VALUE"""),"Nu")</f>
        <v>Nu</v>
      </c>
      <c r="G271" s="41" t="str">
        <f>IFERROR(__xludf.DUMMYFUNCTION("""COMPUTED_VALUE"""),"Fairfax, VA")</f>
        <v>Fairfax, VA</v>
      </c>
      <c r="H271" s="45" t="str">
        <f>IFERROR(__xludf.DUMMYFUNCTION("""COMPUTED_VALUE"""),"ECS")</f>
        <v>ECS</v>
      </c>
      <c r="I271" s="45" t="str">
        <f>IFERROR(__xludf.DUMMYFUNCTION("""COMPUTED_VALUE"""),"Senior Accountant")</f>
        <v>Senior Accountant</v>
      </c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1" t="str">
        <f>IFERROR(__xludf.DUMMYFUNCTION("""COMPUTED_VALUE"""),"Emma")</f>
        <v>Emma</v>
      </c>
      <c r="B272" s="41" t="str">
        <f>IFERROR(__xludf.DUMMYFUNCTION("""COMPUTED_VALUE"""),"Rismiller")</f>
        <v>Rismiller</v>
      </c>
      <c r="C272" s="45" t="str">
        <f>IFERROR(__xludf.DUMMYFUNCTION("""COMPUTED_VALUE"""),"(937) 232-2570")</f>
        <v>(937) 232-2570</v>
      </c>
      <c r="D272" s="45" t="str">
        <f>IFERROR(__xludf.DUMMYFUNCTION("""COMPUTED_VALUE"""),"emma59188@gmail.com")</f>
        <v>emma59188@gmail.com</v>
      </c>
      <c r="E272" s="41">
        <f>IFERROR(__xludf.DUMMYFUNCTION("""COMPUTED_VALUE"""),2024.0)</f>
        <v>2024</v>
      </c>
      <c r="F272" s="41" t="str">
        <f>IFERROR(__xludf.DUMMYFUNCTION("""COMPUTED_VALUE"""),"Rho")</f>
        <v>Rho</v>
      </c>
      <c r="G272" s="41" t="str">
        <f>IFERROR(__xludf.DUMMYFUNCTION("""COMPUTED_VALUE"""),"Charlotte, NC")</f>
        <v>Charlotte, NC</v>
      </c>
      <c r="H272" s="45" t="str">
        <f>IFERROR(__xludf.DUMMYFUNCTION("""COMPUTED_VALUE"""),"Teach for America")</f>
        <v>Teach for America</v>
      </c>
      <c r="I272" s="45" t="str">
        <f>IFERROR(__xludf.DUMMYFUNCTION("""COMPUTED_VALUE"""),"Teacher")</f>
        <v>Teacher</v>
      </c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1" t="str">
        <f>IFERROR(__xludf.DUMMYFUNCTION("""COMPUTED_VALUE"""),"Jack")</f>
        <v>Jack</v>
      </c>
      <c r="B273" s="41" t="str">
        <f>IFERROR(__xludf.DUMMYFUNCTION("""COMPUTED_VALUE"""),"Bohlen")</f>
        <v>Bohlen</v>
      </c>
      <c r="C273" s="45" t="str">
        <f>IFERROR(__xludf.DUMMYFUNCTION("""COMPUTED_VALUE"""),"(704) 307-3764")</f>
        <v>(704) 307-3764</v>
      </c>
      <c r="D273" s="45" t="str">
        <f>IFERROR(__xludf.DUMMYFUNCTION("""COMPUTED_VALUE"""),"jhbohlen18@gmail.com")</f>
        <v>jhbohlen18@gmail.com</v>
      </c>
      <c r="E273" s="41">
        <f>IFERROR(__xludf.DUMMYFUNCTION("""COMPUTED_VALUE"""),2024.0)</f>
        <v>2024</v>
      </c>
      <c r="F273" s="41" t="str">
        <f>IFERROR(__xludf.DUMMYFUNCTION("""COMPUTED_VALUE"""),"Sigma")</f>
        <v>Sigma</v>
      </c>
      <c r="G273" s="41" t="str">
        <f>IFERROR(__xludf.DUMMYFUNCTION("""COMPUTED_VALUE"""),"Chicago")</f>
        <v>Chicago</v>
      </c>
      <c r="H273" s="45" t="str">
        <f>IFERROR(__xludf.DUMMYFUNCTION("""COMPUTED_VALUE"""),"Wells Fargo")</f>
        <v>Wells Fargo</v>
      </c>
      <c r="I273" s="45" t="str">
        <f>IFERROR(__xludf.DUMMYFUNCTION("""COMPUTED_VALUE"""),"Commercial Banking Rotational Analyst")</f>
        <v>Commercial Banking Rotational Analyst</v>
      </c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1" t="str">
        <f>IFERROR(__xludf.DUMMYFUNCTION("""COMPUTED_VALUE"""),"Anna")</f>
        <v>Anna</v>
      </c>
      <c r="B274" s="41" t="str">
        <f>IFERROR(__xludf.DUMMYFUNCTION("""COMPUTED_VALUE"""),"Carli")</f>
        <v>Carli</v>
      </c>
      <c r="C274" s="45" t="str">
        <f>IFERROR(__xludf.DUMMYFUNCTION("""COMPUTED_VALUE"""),"(513) 288-9202")</f>
        <v>(513) 288-9202</v>
      </c>
      <c r="D274" s="45" t="str">
        <f>IFERROR(__xludf.DUMMYFUNCTION("""COMPUTED_VALUE"""),"annabcarli@gmail.com")</f>
        <v>annabcarli@gmail.com</v>
      </c>
      <c r="E274" s="41">
        <f>IFERROR(__xludf.DUMMYFUNCTION("""COMPUTED_VALUE"""),2024.0)</f>
        <v>2024</v>
      </c>
      <c r="F274" s="41" t="str">
        <f>IFERROR(__xludf.DUMMYFUNCTION("""COMPUTED_VALUE"""),"Sigma")</f>
        <v>Sigma</v>
      </c>
      <c r="G274" s="41" t="str">
        <f>IFERROR(__xludf.DUMMYFUNCTION("""COMPUTED_VALUE"""),"Chicago")</f>
        <v>Chicago</v>
      </c>
      <c r="H274" s="45" t="str">
        <f>IFERROR(__xludf.DUMMYFUNCTION("""COMPUTED_VALUE"""),"Chicago Public Schools")</f>
        <v>Chicago Public Schools</v>
      </c>
      <c r="I274" s="45" t="str">
        <f>IFERROR(__xludf.DUMMYFUNCTION("""COMPUTED_VALUE"""),"Teacher")</f>
        <v>Teacher</v>
      </c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1" t="str">
        <f>IFERROR(__xludf.DUMMYFUNCTION("""COMPUTED_VALUE"""),"Niveda")</f>
        <v>Niveda</v>
      </c>
      <c r="B275" s="41" t="str">
        <f>IFERROR(__xludf.DUMMYFUNCTION("""COMPUTED_VALUE"""),"Jeyakrishnan")</f>
        <v>Jeyakrishnan</v>
      </c>
      <c r="C275" s="45" t="str">
        <f>IFERROR(__xludf.DUMMYFUNCTION("""COMPUTED_VALUE"""),"(203) 360-4262")</f>
        <v>(203) 360-4262</v>
      </c>
      <c r="D275" s="45" t="str">
        <f>IFERROR(__xludf.DUMMYFUNCTION("""COMPUTED_VALUE"""),"niveda.jeyakrishnan@gmail.com")</f>
        <v>niveda.jeyakrishnan@gmail.com</v>
      </c>
      <c r="E275" s="41">
        <f>IFERROR(__xludf.DUMMYFUNCTION("""COMPUTED_VALUE"""),2024.0)</f>
        <v>2024</v>
      </c>
      <c r="F275" s="41" t="str">
        <f>IFERROR(__xludf.DUMMYFUNCTION("""COMPUTED_VALUE"""),"Pi")</f>
        <v>Pi</v>
      </c>
      <c r="G275" s="41" t="str">
        <f>IFERROR(__xludf.DUMMYFUNCTION("""COMPUTED_VALUE"""),"Chicago")</f>
        <v>Chicago</v>
      </c>
      <c r="H275" s="45" t="str">
        <f>IFERROR(__xludf.DUMMYFUNCTION("""COMPUTED_VALUE"""),"Crowe")</f>
        <v>Crowe</v>
      </c>
      <c r="I275" s="45" t="str">
        <f>IFERROR(__xludf.DUMMYFUNCTION("""COMPUTED_VALUE"""),"Business Solutions Consultant")</f>
        <v>Business Solutions Consultant</v>
      </c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1" t="str">
        <f>IFERROR(__xludf.DUMMYFUNCTION("""COMPUTED_VALUE"""),"Kaitlyn")</f>
        <v>Kaitlyn</v>
      </c>
      <c r="B276" s="41" t="str">
        <f>IFERROR(__xludf.DUMMYFUNCTION("""COMPUTED_VALUE"""),"Nock")</f>
        <v>Nock</v>
      </c>
      <c r="C276" s="45" t="str">
        <f>IFERROR(__xludf.DUMMYFUNCTION("""COMPUTED_VALUE"""),"(440) 452-0108")</f>
        <v>(440) 452-0108</v>
      </c>
      <c r="D276" s="45" t="str">
        <f>IFERROR(__xludf.DUMMYFUNCTION("""COMPUTED_VALUE"""),"kaitlynpnock@gmail.com")</f>
        <v>kaitlynpnock@gmail.com</v>
      </c>
      <c r="E276" s="41">
        <f>IFERROR(__xludf.DUMMYFUNCTION("""COMPUTED_VALUE"""),2024.0)</f>
        <v>2024</v>
      </c>
      <c r="F276" s="41" t="str">
        <f>IFERROR(__xludf.DUMMYFUNCTION("""COMPUTED_VALUE"""),"Rho")</f>
        <v>Rho</v>
      </c>
      <c r="G276" s="41" t="str">
        <f>IFERROR(__xludf.DUMMYFUNCTION("""COMPUTED_VALUE"""),"Chicago")</f>
        <v>Chicago</v>
      </c>
      <c r="H276" s="45" t="str">
        <f>IFERROR(__xludf.DUMMYFUNCTION("""COMPUTED_VALUE"""),"EY")</f>
        <v>EY</v>
      </c>
      <c r="I276" s="45" t="str">
        <f>IFERROR(__xludf.DUMMYFUNCTION("""COMPUTED_VALUE"""),"FAAS Staff")</f>
        <v>FAAS Staff</v>
      </c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1" t="str">
        <f>IFERROR(__xludf.DUMMYFUNCTION("""COMPUTED_VALUE"""),"Mauricio")</f>
        <v>Mauricio</v>
      </c>
      <c r="B277" s="41" t="str">
        <f>IFERROR(__xludf.DUMMYFUNCTION("""COMPUTED_VALUE"""),"Parra")</f>
        <v>Parra</v>
      </c>
      <c r="C277" s="45" t="str">
        <f>IFERROR(__xludf.DUMMYFUNCTION("""COMPUTED_VALUE"""),"(312) 721-5601")</f>
        <v>(312) 721-5601</v>
      </c>
      <c r="D277" s="45" t="str">
        <f>IFERROR(__xludf.DUMMYFUNCTION("""COMPUTED_VALUE"""),"mauri030102@gmail.com")</f>
        <v>mauri030102@gmail.com</v>
      </c>
      <c r="E277" s="41">
        <f>IFERROR(__xludf.DUMMYFUNCTION("""COMPUTED_VALUE"""),2024.0)</f>
        <v>2024</v>
      </c>
      <c r="F277" s="41" t="str">
        <f>IFERROR(__xludf.DUMMYFUNCTION("""COMPUTED_VALUE"""),"Rho")</f>
        <v>Rho</v>
      </c>
      <c r="G277" s="41" t="str">
        <f>IFERROR(__xludf.DUMMYFUNCTION("""COMPUTED_VALUE"""),"Chicago")</f>
        <v>Chicago</v>
      </c>
      <c r="H277" s="45" t="str">
        <f>IFERROR(__xludf.DUMMYFUNCTION("""COMPUTED_VALUE"""),"Oliver Wyman")</f>
        <v>Oliver Wyman</v>
      </c>
      <c r="I277" s="45" t="str">
        <f>IFERROR(__xludf.DUMMYFUNCTION("""COMPUTED_VALUE"""),"Consultant ")</f>
        <v>Consultant </v>
      </c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1" t="str">
        <f>IFERROR(__xludf.DUMMYFUNCTION("""COMPUTED_VALUE"""),"Nick")</f>
        <v>Nick</v>
      </c>
      <c r="B278" s="41" t="str">
        <f>IFERROR(__xludf.DUMMYFUNCTION("""COMPUTED_VALUE"""),"Perusek")</f>
        <v>Perusek</v>
      </c>
      <c r="C278" s="45" t="str">
        <f>IFERROR(__xludf.DUMMYFUNCTION("""COMPUTED_VALUE"""),"(440)-452-0177")</f>
        <v>(440)-452-0177</v>
      </c>
      <c r="D278" s="45" t="str">
        <f>IFERROR(__xludf.DUMMYFUNCTION("""COMPUTED_VALUE"""),"perusek33@gmail.com")</f>
        <v>perusek33@gmail.com</v>
      </c>
      <c r="E278" s="41">
        <f>IFERROR(__xludf.DUMMYFUNCTION("""COMPUTED_VALUE"""),2024.0)</f>
        <v>2024</v>
      </c>
      <c r="F278" s="41" t="str">
        <f>IFERROR(__xludf.DUMMYFUNCTION("""COMPUTED_VALUE"""),"Rho")</f>
        <v>Rho</v>
      </c>
      <c r="G278" s="41" t="str">
        <f>IFERROR(__xludf.DUMMYFUNCTION("""COMPUTED_VALUE"""),"Chicago")</f>
        <v>Chicago</v>
      </c>
      <c r="H278" s="45" t="str">
        <f>IFERROR(__xludf.DUMMYFUNCTION("""COMPUTED_VALUE"""),"JPMorgan Chase")</f>
        <v>JPMorgan Chase</v>
      </c>
      <c r="I278" s="45" t="str">
        <f>IFERROR(__xludf.DUMMYFUNCTION("""COMPUTED_VALUE"""),"Energy Investments Analyst")</f>
        <v>Energy Investments Analyst</v>
      </c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1" t="str">
        <f>IFERROR(__xludf.DUMMYFUNCTION("""COMPUTED_VALUE"""),"Max")</f>
        <v>Max</v>
      </c>
      <c r="B279" s="41" t="str">
        <f>IFERROR(__xludf.DUMMYFUNCTION("""COMPUTED_VALUE"""),"Boulton")</f>
        <v>Boulton</v>
      </c>
      <c r="C279" s="45" t="str">
        <f>IFERROR(__xludf.DUMMYFUNCTION("""COMPUTED_VALUE"""),"(513) 461-3053")</f>
        <v>(513) 461-3053</v>
      </c>
      <c r="D279" s="45" t="str">
        <f>IFERROR(__xludf.DUMMYFUNCTION("""COMPUTED_VALUE"""),"maxboulton@yahoo.com")</f>
        <v>maxboulton@yahoo.com</v>
      </c>
      <c r="E279" s="41">
        <f>IFERROR(__xludf.DUMMYFUNCTION("""COMPUTED_VALUE"""),2024.0)</f>
        <v>2024</v>
      </c>
      <c r="F279" s="41" t="str">
        <f>IFERROR(__xludf.DUMMYFUNCTION("""COMPUTED_VALUE"""),"Omicron")</f>
        <v>Omicron</v>
      </c>
      <c r="G279" s="41" t="str">
        <f>IFERROR(__xludf.DUMMYFUNCTION("""COMPUTED_VALUE"""),"Chicago")</f>
        <v>Chicago</v>
      </c>
      <c r="H279" s="45" t="str">
        <f>IFERROR(__xludf.DUMMYFUNCTION("""COMPUTED_VALUE"""),"The CAM Collective")</f>
        <v>The CAM Collective</v>
      </c>
      <c r="I279" s="45" t="str">
        <f>IFERROR(__xludf.DUMMYFUNCTION("""COMPUTED_VALUE"""),"M&amp;A Analyst")</f>
        <v>M&amp;A Analyst</v>
      </c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1" t="str">
        <f>IFERROR(__xludf.DUMMYFUNCTION("""COMPUTED_VALUE"""),"Caroline")</f>
        <v>Caroline</v>
      </c>
      <c r="B280" s="41" t="str">
        <f>IFERROR(__xludf.DUMMYFUNCTION("""COMPUTED_VALUE"""),"Jarrell")</f>
        <v>Jarrell</v>
      </c>
      <c r="C280" s="45" t="str">
        <f>IFERROR(__xludf.DUMMYFUNCTION("""COMPUTED_VALUE"""),"(419) 279-2570")</f>
        <v>(419) 279-2570</v>
      </c>
      <c r="D280" s="45" t="str">
        <f>IFERROR(__xludf.DUMMYFUNCTION("""COMPUTED_VALUE"""),"carolinegrace46@gmail.com")</f>
        <v>carolinegrace46@gmail.com</v>
      </c>
      <c r="E280" s="41">
        <f>IFERROR(__xludf.DUMMYFUNCTION("""COMPUTED_VALUE"""),2024.0)</f>
        <v>2024</v>
      </c>
      <c r="F280" s="41" t="str">
        <f>IFERROR(__xludf.DUMMYFUNCTION("""COMPUTED_VALUE"""),"Rho")</f>
        <v>Rho</v>
      </c>
      <c r="G280" s="41" t="str">
        <f>IFERROR(__xludf.DUMMYFUNCTION("""COMPUTED_VALUE"""),"Cincinnati")</f>
        <v>Cincinnati</v>
      </c>
      <c r="H280" s="45" t="str">
        <f>IFERROR(__xludf.DUMMYFUNCTION("""COMPUTED_VALUE"""),"Plante Moran")</f>
        <v>Plante Moran</v>
      </c>
      <c r="I280" s="45" t="str">
        <f>IFERROR(__xludf.DUMMYFUNCTION("""COMPUTED_VALUE"""),"Human Resources Senior Coordinator")</f>
        <v>Human Resources Senior Coordinator</v>
      </c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1" t="str">
        <f>IFERROR(__xludf.DUMMYFUNCTION("""COMPUTED_VALUE"""),"Sophia")</f>
        <v>Sophia</v>
      </c>
      <c r="B281" s="41" t="str">
        <f>IFERROR(__xludf.DUMMYFUNCTION("""COMPUTED_VALUE"""),"Spano")</f>
        <v>Spano</v>
      </c>
      <c r="C281" s="45" t="str">
        <f>IFERROR(__xludf.DUMMYFUNCTION("""COMPUTED_VALUE"""),"(412) 592-4049")</f>
        <v>(412) 592-4049</v>
      </c>
      <c r="D281" s="45" t="str">
        <f>IFERROR(__xludf.DUMMYFUNCTION("""COMPUTED_VALUE"""),"sophia.spano00@gmail.com")</f>
        <v>sophia.spano00@gmail.com</v>
      </c>
      <c r="E281" s="41">
        <f>IFERROR(__xludf.DUMMYFUNCTION("""COMPUTED_VALUE"""),2024.0)</f>
        <v>2024</v>
      </c>
      <c r="F281" s="41" t="str">
        <f>IFERROR(__xludf.DUMMYFUNCTION("""COMPUTED_VALUE"""),"Pi")</f>
        <v>Pi</v>
      </c>
      <c r="G281" s="41" t="str">
        <f>IFERROR(__xludf.DUMMYFUNCTION("""COMPUTED_VALUE"""),"Cincinnati")</f>
        <v>Cincinnati</v>
      </c>
      <c r="H281" s="45" t="str">
        <f>IFERROR(__xludf.DUMMYFUNCTION("""COMPUTED_VALUE"""),"GE Aerospace")</f>
        <v>GE Aerospace</v>
      </c>
      <c r="I281" s="45" t="str">
        <f>IFERROR(__xludf.DUMMYFUNCTION("""COMPUTED_VALUE"""),"Commercial Leadership Program")</f>
        <v>Commercial Leadership Program</v>
      </c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1" t="str">
        <f>IFERROR(__xludf.DUMMYFUNCTION("""COMPUTED_VALUE"""),"Max")</f>
        <v>Max</v>
      </c>
      <c r="B282" s="41" t="str">
        <f>IFERROR(__xludf.DUMMYFUNCTION("""COMPUTED_VALUE"""),"Lew")</f>
        <v>Lew</v>
      </c>
      <c r="C282" s="45" t="str">
        <f>IFERROR(__xludf.DUMMYFUNCTION("""COMPUTED_VALUE"""),"(216) 401-5242")</f>
        <v>(216) 401-5242</v>
      </c>
      <c r="D282" s="45" t="str">
        <f>IFERROR(__xludf.DUMMYFUNCTION("""COMPUTED_VALUE"""),"maximus.lew34@icloud.com")</f>
        <v>maximus.lew34@icloud.com</v>
      </c>
      <c r="E282" s="41">
        <f>IFERROR(__xludf.DUMMYFUNCTION("""COMPUTED_VALUE"""),2024.0)</f>
        <v>2024</v>
      </c>
      <c r="F282" s="41" t="str">
        <f>IFERROR(__xludf.DUMMYFUNCTION("""COMPUTED_VALUE"""),"Pi")</f>
        <v>Pi</v>
      </c>
      <c r="G282" s="41" t="str">
        <f>IFERROR(__xludf.DUMMYFUNCTION("""COMPUTED_VALUE"""),"Cleveland")</f>
        <v>Cleveland</v>
      </c>
      <c r="H282" s="45" t="str">
        <f>IFERROR(__xludf.DUMMYFUNCTION("""COMPUTED_VALUE"""),"Eighth Day Sound")</f>
        <v>Eighth Day Sound</v>
      </c>
      <c r="I282" s="45" t="str">
        <f>IFERROR(__xludf.DUMMYFUNCTION("""COMPUTED_VALUE"""),"Road Staff")</f>
        <v>Road Staff</v>
      </c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1" t="str">
        <f>IFERROR(__xludf.DUMMYFUNCTION("""COMPUTED_VALUE"""),"Grace")</f>
        <v>Grace</v>
      </c>
      <c r="B283" s="41" t="str">
        <f>IFERROR(__xludf.DUMMYFUNCTION("""COMPUTED_VALUE"""),"Berlier")</f>
        <v>Berlier</v>
      </c>
      <c r="C283" s="45" t="str">
        <f>IFERROR(__xludf.DUMMYFUNCTION("""COMPUTED_VALUE"""),"(513) 460-2205")</f>
        <v>(513) 460-2205</v>
      </c>
      <c r="D283" s="45" t="str">
        <f>IFERROR(__xludf.DUMMYFUNCTION("""COMPUTED_VALUE"""),"graceberlier@gmail.com")</f>
        <v>graceberlier@gmail.com</v>
      </c>
      <c r="E283" s="41">
        <f>IFERROR(__xludf.DUMMYFUNCTION("""COMPUTED_VALUE"""),2024.0)</f>
        <v>2024</v>
      </c>
      <c r="F283" s="41" t="str">
        <f>IFERROR(__xludf.DUMMYFUNCTION("""COMPUTED_VALUE"""),"Pi")</f>
        <v>Pi</v>
      </c>
      <c r="G283" s="41" t="str">
        <f>IFERROR(__xludf.DUMMYFUNCTION("""COMPUTED_VALUE"""),"Columbus")</f>
        <v>Columbus</v>
      </c>
      <c r="H283" s="45" t="str">
        <f>IFERROR(__xludf.DUMMYFUNCTION("""COMPUTED_VALUE"""),"Nationwide Insurance")</f>
        <v>Nationwide Insurance</v>
      </c>
      <c r="I283" s="45" t="str">
        <f>IFERROR(__xludf.DUMMYFUNCTION("""COMPUTED_VALUE"""),"Marketing Leadership Rotation Program Associate")</f>
        <v>Marketing Leadership Rotation Program Associate</v>
      </c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1" t="str">
        <f>IFERROR(__xludf.DUMMYFUNCTION("""COMPUTED_VALUE"""),"Grace")</f>
        <v>Grace</v>
      </c>
      <c r="B284" s="41" t="str">
        <f>IFERROR(__xludf.DUMMYFUNCTION("""COMPUTED_VALUE"""),"Bright")</f>
        <v>Bright</v>
      </c>
      <c r="C284" s="45" t="str">
        <f>IFERROR(__xludf.DUMMYFUNCTION("""COMPUTED_VALUE"""),"(248) 686-9095")</f>
        <v>(248) 686-9095</v>
      </c>
      <c r="D284" s="45" t="str">
        <f>IFERROR(__xludf.DUMMYFUNCTION("""COMPUTED_VALUE"""),"gracebright74@gmail.com")</f>
        <v>gracebright74@gmail.com</v>
      </c>
      <c r="E284" s="41">
        <f>IFERROR(__xludf.DUMMYFUNCTION("""COMPUTED_VALUE"""),2024.0)</f>
        <v>2024</v>
      </c>
      <c r="F284" s="41" t="str">
        <f>IFERROR(__xludf.DUMMYFUNCTION("""COMPUTED_VALUE"""),"Sigma")</f>
        <v>Sigma</v>
      </c>
      <c r="G284" s="41" t="str">
        <f>IFERROR(__xludf.DUMMYFUNCTION("""COMPUTED_VALUE"""),"Columbus")</f>
        <v>Columbus</v>
      </c>
      <c r="H284" s="45" t="str">
        <f>IFERROR(__xludf.DUMMYFUNCTION("""COMPUTED_VALUE"""),"OSU Wexner Medical Center")</f>
        <v>OSU Wexner Medical Center</v>
      </c>
      <c r="I284" s="45" t="str">
        <f>IFERROR(__xludf.DUMMYFUNCTION("""COMPUTED_VALUE"""),"Project Manager")</f>
        <v>Project Manager</v>
      </c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1" t="str">
        <f>IFERROR(__xludf.DUMMYFUNCTION("""COMPUTED_VALUE"""),"Briana")</f>
        <v>Briana</v>
      </c>
      <c r="B285" s="41" t="str">
        <f>IFERROR(__xludf.DUMMYFUNCTION("""COMPUTED_VALUE"""),"Keyser")</f>
        <v>Keyser</v>
      </c>
      <c r="C285" s="45" t="str">
        <f>IFERROR(__xludf.DUMMYFUNCTION("""COMPUTED_VALUE"""),"(419) 239-8727")</f>
        <v>(419) 239-8727</v>
      </c>
      <c r="D285" s="45" t="str">
        <f>IFERROR(__xludf.DUMMYFUNCTION("""COMPUTED_VALUE"""),"brianakeyser16@gmail.com")</f>
        <v>brianakeyser16@gmail.com</v>
      </c>
      <c r="E285" s="41">
        <f>IFERROR(__xludf.DUMMYFUNCTION("""COMPUTED_VALUE"""),2024.0)</f>
        <v>2024</v>
      </c>
      <c r="F285" s="41" t="str">
        <f>IFERROR(__xludf.DUMMYFUNCTION("""COMPUTED_VALUE"""),"Sigma")</f>
        <v>Sigma</v>
      </c>
      <c r="G285" s="41" t="str">
        <f>IFERROR(__xludf.DUMMYFUNCTION("""COMPUTED_VALUE"""),"Columbus")</f>
        <v>Columbus</v>
      </c>
      <c r="H285" s="45" t="str">
        <f>IFERROR(__xludf.DUMMYFUNCTION("""COMPUTED_VALUE"""),"Greentech Renewables")</f>
        <v>Greentech Renewables</v>
      </c>
      <c r="I285" s="45" t="str">
        <f>IFERROR(__xludf.DUMMYFUNCTION("""COMPUTED_VALUE"""),"Purchasing Manager")</f>
        <v>Purchasing Manager</v>
      </c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1" t="str">
        <f>IFERROR(__xludf.DUMMYFUNCTION("""COMPUTED_VALUE"""),"Aaron")</f>
        <v>Aaron</v>
      </c>
      <c r="B286" s="41" t="str">
        <f>IFERROR(__xludf.DUMMYFUNCTION("""COMPUTED_VALUE"""),"Zajkowski")</f>
        <v>Zajkowski</v>
      </c>
      <c r="C286" s="45" t="str">
        <f>IFERROR(__xludf.DUMMYFUNCTION("""COMPUTED_VALUE"""),"(440) 387-3026")</f>
        <v>(440) 387-3026</v>
      </c>
      <c r="D286" s="45" t="str">
        <f>IFERROR(__xludf.DUMMYFUNCTION("""COMPUTED_VALUE"""),"aaronzajkowski@gmail.com")</f>
        <v>aaronzajkowski@gmail.com</v>
      </c>
      <c r="E286" s="41">
        <f>IFERROR(__xludf.DUMMYFUNCTION("""COMPUTED_VALUE"""),2024.0)</f>
        <v>2024</v>
      </c>
      <c r="F286" s="41" t="str">
        <f>IFERROR(__xludf.DUMMYFUNCTION("""COMPUTED_VALUE"""),"Sigma")</f>
        <v>Sigma</v>
      </c>
      <c r="G286" s="41" t="str">
        <f>IFERROR(__xludf.DUMMYFUNCTION("""COMPUTED_VALUE"""),"Columbus")</f>
        <v>Columbus</v>
      </c>
      <c r="H286" s="45" t="str">
        <f>IFERROR(__xludf.DUMMYFUNCTION("""COMPUTED_VALUE"""),"Assurance Associate")</f>
        <v>Assurance Associate</v>
      </c>
      <c r="I286" s="45" t="str">
        <f>IFERROR(__xludf.DUMMYFUNCTION("""COMPUTED_VALUE"""),"RSM")</f>
        <v>RSM</v>
      </c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1" t="str">
        <f>IFERROR(__xludf.DUMMYFUNCTION("""COMPUTED_VALUE"""),"Ryan")</f>
        <v>Ryan</v>
      </c>
      <c r="B287" s="41" t="str">
        <f>IFERROR(__xludf.DUMMYFUNCTION("""COMPUTED_VALUE"""),"Zinn")</f>
        <v>Zinn</v>
      </c>
      <c r="C287" s="45" t="str">
        <f>IFERROR(__xludf.DUMMYFUNCTION("""COMPUTED_VALUE"""),"(614) 377-6879")</f>
        <v>(614) 377-6879</v>
      </c>
      <c r="D287" s="45" t="str">
        <f>IFERROR(__xludf.DUMMYFUNCTION("""COMPUTED_VALUE"""),"ryanzinn2020@gmail.com")</f>
        <v>ryanzinn2020@gmail.com</v>
      </c>
      <c r="E287" s="41">
        <f>IFERROR(__xludf.DUMMYFUNCTION("""COMPUTED_VALUE"""),2024.0)</f>
        <v>2024</v>
      </c>
      <c r="F287" s="41" t="str">
        <f>IFERROR(__xludf.DUMMYFUNCTION("""COMPUTED_VALUE"""),"Pi")</f>
        <v>Pi</v>
      </c>
      <c r="G287" s="41" t="str">
        <f>IFERROR(__xludf.DUMMYFUNCTION("""COMPUTED_VALUE"""),"Columbus")</f>
        <v>Columbus</v>
      </c>
      <c r="H287" s="45" t="str">
        <f>IFERROR(__xludf.DUMMYFUNCTION("""COMPUTED_VALUE"""),"XTek Partners, Inc")</f>
        <v>XTek Partners, Inc</v>
      </c>
      <c r="I287" s="45" t="str">
        <f>IFERROR(__xludf.DUMMYFUNCTION("""COMPUTED_VALUE"""),"Government Program Lead")</f>
        <v>Government Program Lead</v>
      </c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1" t="str">
        <f>IFERROR(__xludf.DUMMYFUNCTION("""COMPUTED_VALUE"""),"Geetansh")</f>
        <v>Geetansh</v>
      </c>
      <c r="B288" s="41" t="str">
        <f>IFERROR(__xludf.DUMMYFUNCTION("""COMPUTED_VALUE"""),"Sankhla")</f>
        <v>Sankhla</v>
      </c>
      <c r="C288" s="45" t="str">
        <f>IFERROR(__xludf.DUMMYFUNCTION("""COMPUTED_VALUE"""),"(440) 903-8250")</f>
        <v>(440) 903-8250</v>
      </c>
      <c r="D288" s="45" t="str">
        <f>IFERROR(__xludf.DUMMYFUNCTION("""COMPUTED_VALUE"""),"geetanshsankhla@gmail.com")</f>
        <v>geetanshsankhla@gmail.com</v>
      </c>
      <c r="E288" s="41">
        <f>IFERROR(__xludf.DUMMYFUNCTION("""COMPUTED_VALUE"""),2024.0)</f>
        <v>2024</v>
      </c>
      <c r="F288" s="41" t="str">
        <f>IFERROR(__xludf.DUMMYFUNCTION("""COMPUTED_VALUE"""),"Sigma")</f>
        <v>Sigma</v>
      </c>
      <c r="G288" s="41" t="str">
        <f>IFERROR(__xludf.DUMMYFUNCTION("""COMPUTED_VALUE"""),"Dallas")</f>
        <v>Dallas</v>
      </c>
      <c r="H288" s="45" t="str">
        <f>IFERROR(__xludf.DUMMYFUNCTION("""COMPUTED_VALUE"""),"Crowe LLP")</f>
        <v>Crowe LLP</v>
      </c>
      <c r="I288" s="45" t="str">
        <f>IFERROR(__xludf.DUMMYFUNCTION("""COMPUTED_VALUE"""),"Power Platform Business Solutions Consultant")</f>
        <v>Power Platform Business Solutions Consultant</v>
      </c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1" t="str">
        <f>IFERROR(__xludf.DUMMYFUNCTION("""COMPUTED_VALUE"""),"Matthew")</f>
        <v>Matthew</v>
      </c>
      <c r="B289" s="41" t="str">
        <f>IFERROR(__xludf.DUMMYFUNCTION("""COMPUTED_VALUE"""),"Gong")</f>
        <v>Gong</v>
      </c>
      <c r="C289" s="45" t="str">
        <f>IFERROR(__xludf.DUMMYFUNCTION("""COMPUTED_VALUE"""),"(248) 787-0858")</f>
        <v>(248) 787-0858</v>
      </c>
      <c r="D289" s="45" t="str">
        <f>IFERROR(__xludf.DUMMYFUNCTION("""COMPUTED_VALUE"""),"matt.gong22@gmail.com")</f>
        <v>matt.gong22@gmail.com</v>
      </c>
      <c r="E289" s="41">
        <f>IFERROR(__xludf.DUMMYFUNCTION("""COMPUTED_VALUE"""),2024.0)</f>
        <v>2024</v>
      </c>
      <c r="F289" s="41" t="str">
        <f>IFERROR(__xludf.DUMMYFUNCTION("""COMPUTED_VALUE"""),"Omicron")</f>
        <v>Omicron</v>
      </c>
      <c r="G289" s="41" t="str">
        <f>IFERROR(__xludf.DUMMYFUNCTION("""COMPUTED_VALUE"""),"Cleveland")</f>
        <v>Cleveland</v>
      </c>
      <c r="H289" s="45" t="str">
        <f>IFERROR(__xludf.DUMMYFUNCTION("""COMPUTED_VALUE"""),"Eaton")</f>
        <v>Eaton</v>
      </c>
      <c r="I289" s="45" t="str">
        <f>IFERROR(__xludf.DUMMYFUNCTION("""COMPUTED_VALUE"""),"Operations Finance (FLDP)")</f>
        <v>Operations Finance (FLDP)</v>
      </c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1" t="str">
        <f>IFERROR(__xludf.DUMMYFUNCTION("""COMPUTED_VALUE"""),"Ben")</f>
        <v>Ben</v>
      </c>
      <c r="B290" s="41" t="str">
        <f>IFERROR(__xludf.DUMMYFUNCTION("""COMPUTED_VALUE"""),"Dushnitzky")</f>
        <v>Dushnitzky</v>
      </c>
      <c r="C290" s="45" t="str">
        <f>IFERROR(__xludf.DUMMYFUNCTION("""COMPUTED_VALUE"""),"(614) 598-2243")</f>
        <v>(614) 598-2243</v>
      </c>
      <c r="D290" s="45" t="str">
        <f>IFERROR(__xludf.DUMMYFUNCTION("""COMPUTED_VALUE"""),"dushnitzky.2@osu.edu")</f>
        <v>dushnitzky.2@osu.edu</v>
      </c>
      <c r="E290" s="41">
        <f>IFERROR(__xludf.DUMMYFUNCTION("""COMPUTED_VALUE"""),2024.0)</f>
        <v>2024</v>
      </c>
      <c r="F290" s="41" t="str">
        <f>IFERROR(__xludf.DUMMYFUNCTION("""COMPUTED_VALUE"""),"Rho")</f>
        <v>Rho</v>
      </c>
      <c r="G290" s="41" t="str">
        <f>IFERROR(__xludf.DUMMYFUNCTION("""COMPUTED_VALUE"""),"Miami")</f>
        <v>Miami</v>
      </c>
      <c r="H290" s="45" t="str">
        <f>IFERROR(__xludf.DUMMYFUNCTION("""COMPUTED_VALUE"""),"Royal Carribbean")</f>
        <v>Royal Carribbean</v>
      </c>
      <c r="I290" s="45" t="str">
        <f>IFERROR(__xludf.DUMMYFUNCTION("""COMPUTED_VALUE"""),"Deployment Strategy &amp; Projects Analyst")</f>
        <v>Deployment Strategy &amp; Projects Analyst</v>
      </c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1" t="str">
        <f>IFERROR(__xludf.DUMMYFUNCTION("""COMPUTED_VALUE"""),"Lillian")</f>
        <v>Lillian</v>
      </c>
      <c r="B291" s="41" t="str">
        <f>IFERROR(__xludf.DUMMYFUNCTION("""COMPUTED_VALUE"""),"Gorelik")</f>
        <v>Gorelik</v>
      </c>
      <c r="C291" s="45" t="str">
        <f>IFERROR(__xludf.DUMMYFUNCTION("""COMPUTED_VALUE"""),"(517) 944-3112")</f>
        <v>(517) 944-3112</v>
      </c>
      <c r="D291" s="45" t="str">
        <f>IFERROR(__xludf.DUMMYFUNCTION("""COMPUTED_VALUE"""),"goreliklillian@gmail.com")</f>
        <v>goreliklillian@gmail.com</v>
      </c>
      <c r="E291" s="41">
        <f>IFERROR(__xludf.DUMMYFUNCTION("""COMPUTED_VALUE"""),2024.0)</f>
        <v>2024</v>
      </c>
      <c r="F291" s="41" t="str">
        <f>IFERROR(__xludf.DUMMYFUNCTION("""COMPUTED_VALUE"""),"Sigma")</f>
        <v>Sigma</v>
      </c>
      <c r="G291" s="41" t="str">
        <f>IFERROR(__xludf.DUMMYFUNCTION("""COMPUTED_VALUE"""),"New York")</f>
        <v>New York</v>
      </c>
      <c r="H291" s="45" t="str">
        <f>IFERROR(__xludf.DUMMYFUNCTION("""COMPUTED_VALUE"""),"Accenture")</f>
        <v>Accenture</v>
      </c>
      <c r="I291" s="45" t="str">
        <f>IFERROR(__xludf.DUMMYFUNCTION("""COMPUTED_VALUE"""),"Business Architecture Analyst")</f>
        <v>Business Architecture Analyst</v>
      </c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1" t="str">
        <f>IFERROR(__xludf.DUMMYFUNCTION("""COMPUTED_VALUE"""),"Max")</f>
        <v>Max</v>
      </c>
      <c r="B292" s="41" t="str">
        <f>IFERROR(__xludf.DUMMYFUNCTION("""COMPUTED_VALUE"""),"Isaacman")</f>
        <v>Isaacman</v>
      </c>
      <c r="C292" s="45" t="str">
        <f>IFERROR(__xludf.DUMMYFUNCTION("""COMPUTED_VALUE"""),"(858)-776-4421")</f>
        <v>(858)-776-4421</v>
      </c>
      <c r="D292" s="45" t="str">
        <f>IFERROR(__xludf.DUMMYFUNCTION("""COMPUTED_VALUE"""),"Mbisaacman@gmail.com")</f>
        <v>Mbisaacman@gmail.com</v>
      </c>
      <c r="E292" s="41">
        <f>IFERROR(__xludf.DUMMYFUNCTION("""COMPUTED_VALUE"""),2024.0)</f>
        <v>2024</v>
      </c>
      <c r="F292" s="41" t="str">
        <f>IFERROR(__xludf.DUMMYFUNCTION("""COMPUTED_VALUE"""),"Omicron")</f>
        <v>Omicron</v>
      </c>
      <c r="G292" s="41" t="str">
        <f>IFERROR(__xludf.DUMMYFUNCTION("""COMPUTED_VALUE"""),"New York")</f>
        <v>New York</v>
      </c>
      <c r="H292" s="45" t="str">
        <f>IFERROR(__xludf.DUMMYFUNCTION("""COMPUTED_VALUE"""),"HPS Investment Partners")</f>
        <v>HPS Investment Partners</v>
      </c>
      <c r="I292" s="45" t="str">
        <f>IFERROR(__xludf.DUMMYFUNCTION("""COMPUTED_VALUE"""),"Analyst")</f>
        <v>Analyst</v>
      </c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1" t="str">
        <f>IFERROR(__xludf.DUMMYFUNCTION("""COMPUTED_VALUE"""),"Nidhi")</f>
        <v>Nidhi</v>
      </c>
      <c r="B293" s="41" t="str">
        <f>IFERROR(__xludf.DUMMYFUNCTION("""COMPUTED_VALUE"""),"Shah")</f>
        <v>Shah</v>
      </c>
      <c r="C293" s="45" t="str">
        <f>IFERROR(__xludf.DUMMYFUNCTION("""COMPUTED_VALUE"""),"(609) 933-2448")</f>
        <v>(609) 933-2448</v>
      </c>
      <c r="D293" s="45" t="str">
        <f>IFERROR(__xludf.DUMMYFUNCTION("""COMPUTED_VALUE"""),"2nidhishah@gmail.com")</f>
        <v>2nidhishah@gmail.com</v>
      </c>
      <c r="E293" s="41">
        <f>IFERROR(__xludf.DUMMYFUNCTION("""COMPUTED_VALUE"""),2024.0)</f>
        <v>2024</v>
      </c>
      <c r="F293" s="41" t="str">
        <f>IFERROR(__xludf.DUMMYFUNCTION("""COMPUTED_VALUE"""),"Pi")</f>
        <v>Pi</v>
      </c>
      <c r="G293" s="41" t="str">
        <f>IFERROR(__xludf.DUMMYFUNCTION("""COMPUTED_VALUE"""),"New York")</f>
        <v>New York</v>
      </c>
      <c r="H293" s="45" t="str">
        <f>IFERROR(__xludf.DUMMYFUNCTION("""COMPUTED_VALUE"""),"PJT Partners")</f>
        <v>PJT Partners</v>
      </c>
      <c r="I293" s="45" t="str">
        <f>IFERROR(__xludf.DUMMYFUNCTION("""COMPUTED_VALUE"""),"Analyst")</f>
        <v>Analyst</v>
      </c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1" t="str">
        <f>IFERROR(__xludf.DUMMYFUNCTION("""COMPUTED_VALUE"""),"Miles")</f>
        <v>Miles</v>
      </c>
      <c r="B294" s="41" t="str">
        <f>IFERROR(__xludf.DUMMYFUNCTION("""COMPUTED_VALUE"""),"Skove")</f>
        <v>Skove</v>
      </c>
      <c r="C294" s="45" t="str">
        <f>IFERROR(__xludf.DUMMYFUNCTION("""COMPUTED_VALUE"""),"(732) 413-5884")</f>
        <v>(732) 413-5884</v>
      </c>
      <c r="D294" s="45" t="str">
        <f>IFERROR(__xludf.DUMMYFUNCTION("""COMPUTED_VALUE"""),"milesskove@gmail.com")</f>
        <v>milesskove@gmail.com</v>
      </c>
      <c r="E294" s="41">
        <f>IFERROR(__xludf.DUMMYFUNCTION("""COMPUTED_VALUE"""),2024.0)</f>
        <v>2024</v>
      </c>
      <c r="F294" s="41" t="str">
        <f>IFERROR(__xludf.DUMMYFUNCTION("""COMPUTED_VALUE"""),"Rho")</f>
        <v>Rho</v>
      </c>
      <c r="G294" s="41" t="str">
        <f>IFERROR(__xludf.DUMMYFUNCTION("""COMPUTED_VALUE"""),"New York")</f>
        <v>New York</v>
      </c>
      <c r="H294" s="45" t="str">
        <f>IFERROR(__xludf.DUMMYFUNCTION("""COMPUTED_VALUE"""),"Jefferies")</f>
        <v>Jefferies</v>
      </c>
      <c r="I294" s="45" t="str">
        <f>IFERROR(__xludf.DUMMYFUNCTION("""COMPUTED_VALUE"""),"Investment Banking Analyst")</f>
        <v>Investment Banking Analyst</v>
      </c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1" t="str">
        <f>IFERROR(__xludf.DUMMYFUNCTION("""COMPUTED_VALUE"""),"Annika")</f>
        <v>Annika</v>
      </c>
      <c r="B295" s="41" t="str">
        <f>IFERROR(__xludf.DUMMYFUNCTION("""COMPUTED_VALUE"""),"Behrend")</f>
        <v>Behrend</v>
      </c>
      <c r="C295" s="45" t="str">
        <f>IFERROR(__xludf.DUMMYFUNCTION("""COMPUTED_VALUE"""),"(440) 867-6778")</f>
        <v>(440) 867-6778</v>
      </c>
      <c r="D295" s="45" t="str">
        <f>IFERROR(__xludf.DUMMYFUNCTION("""COMPUTED_VALUE"""),"annikabehrend@gmail.com")</f>
        <v>annikabehrend@gmail.com</v>
      </c>
      <c r="E295" s="41">
        <f>IFERROR(__xludf.DUMMYFUNCTION("""COMPUTED_VALUE"""),2024.0)</f>
        <v>2024</v>
      </c>
      <c r="F295" s="41" t="str">
        <f>IFERROR(__xludf.DUMMYFUNCTION("""COMPUTED_VALUE"""),"Lambda")</f>
        <v>Lambda</v>
      </c>
      <c r="G295" s="41" t="str">
        <f>IFERROR(__xludf.DUMMYFUNCTION("""COMPUTED_VALUE"""),"Fort Lauderdale")</f>
        <v>Fort Lauderdale</v>
      </c>
      <c r="H295" s="45" t="str">
        <f>IFERROR(__xludf.DUMMYFUNCTION("""COMPUTED_VALUE"""),"ADP")</f>
        <v>ADP</v>
      </c>
      <c r="I295" s="45" t="str">
        <f>IFERROR(__xludf.DUMMYFUNCTION("""COMPUTED_VALUE"""),"Associate District Manager")</f>
        <v>Associate District Manager</v>
      </c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1" t="str">
        <f>IFERROR(__xludf.DUMMYFUNCTION("""COMPUTED_VALUE"""),"Mika")</f>
        <v>Mika</v>
      </c>
      <c r="B296" s="41" t="str">
        <f>IFERROR(__xludf.DUMMYFUNCTION("""COMPUTED_VALUE"""),"Guillen")</f>
        <v>Guillen</v>
      </c>
      <c r="C296" s="45" t="str">
        <f>IFERROR(__xludf.DUMMYFUNCTION("""COMPUTED_VALUE"""),"(937) 271-4874")</f>
        <v>(937) 271-4874</v>
      </c>
      <c r="D296" s="45" t="str">
        <f>IFERROR(__xludf.DUMMYFUNCTION("""COMPUTED_VALUE"""),"mikasguillen@gmail.com")</f>
        <v>mikasguillen@gmail.com</v>
      </c>
      <c r="E296" s="41">
        <f>IFERROR(__xludf.DUMMYFUNCTION("""COMPUTED_VALUE"""),2024.0)</f>
        <v>2024</v>
      </c>
      <c r="F296" s="41" t="str">
        <f>IFERROR(__xludf.DUMMYFUNCTION("""COMPUTED_VALUE"""),"Omicron")</f>
        <v>Omicron</v>
      </c>
      <c r="G296" s="41" t="str">
        <f>IFERROR(__xludf.DUMMYFUNCTION("""COMPUTED_VALUE"""),"San Francisco")</f>
        <v>San Francisco</v>
      </c>
      <c r="H296" s="45" t="str">
        <f>IFERROR(__xludf.DUMMYFUNCTION("""COMPUTED_VALUE"""),"Google")</f>
        <v>Google</v>
      </c>
      <c r="I296" s="45" t="str">
        <f>IFERROR(__xludf.DUMMYFUNCTION("""COMPUTED_VALUE"""),"Growth Consultant")</f>
        <v>Growth Consultant</v>
      </c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1" t="str">
        <f>IFERROR(__xludf.DUMMYFUNCTION("""COMPUTED_VALUE"""),"Jack")</f>
        <v>Jack</v>
      </c>
      <c r="B297" s="41" t="str">
        <f>IFERROR(__xludf.DUMMYFUNCTION("""COMPUTED_VALUE"""),"Dennis")</f>
        <v>Dennis</v>
      </c>
      <c r="C297" s="45" t="str">
        <f>IFERROR(__xludf.DUMMYFUNCTION("""COMPUTED_VALUE"""),"(330) 844-4996")</f>
        <v>(330) 844-4996</v>
      </c>
      <c r="D297" s="45" t="str">
        <f>IFERROR(__xludf.DUMMYFUNCTION("""COMPUTED_VALUE"""),"jackdennis4996@gmail.com")</f>
        <v>jackdennis4996@gmail.com</v>
      </c>
      <c r="E297" s="41">
        <f>IFERROR(__xludf.DUMMYFUNCTION("""COMPUTED_VALUE"""),2024.0)</f>
        <v>2024</v>
      </c>
      <c r="F297" s="41" t="str">
        <f>IFERROR(__xludf.DUMMYFUNCTION("""COMPUTED_VALUE"""),"Rho")</f>
        <v>Rho</v>
      </c>
      <c r="G297" s="41" t="str">
        <f>IFERROR(__xludf.DUMMYFUNCTION("""COMPUTED_VALUE"""),"Chicago")</f>
        <v>Chicago</v>
      </c>
      <c r="H297" s="45" t="str">
        <f>IFERROR(__xludf.DUMMYFUNCTION("""COMPUTED_VALUE"""),"Saragossa")</f>
        <v>Saragossa</v>
      </c>
      <c r="I297" s="45" t="str">
        <f>IFERROR(__xludf.DUMMYFUNCTION("""COMPUTED_VALUE"""),"Associate Consultant")</f>
        <v>Associate Consultant</v>
      </c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1" t="str">
        <f>IFERROR(__xludf.DUMMYFUNCTION("""COMPUTED_VALUE"""),"Christian")</f>
        <v>Christian</v>
      </c>
      <c r="B298" s="41" t="str">
        <f>IFERROR(__xludf.DUMMYFUNCTION("""COMPUTED_VALUE"""),"Heidenreich")</f>
        <v>Heidenreich</v>
      </c>
      <c r="C298" s="45" t="str">
        <f>IFERROR(__xludf.DUMMYFUNCTION("""COMPUTED_VALUE"""),"(412) 760-8804")</f>
        <v>(412) 760-8804</v>
      </c>
      <c r="D298" s="45" t="str">
        <f>IFERROR(__xludf.DUMMYFUNCTION("""COMPUTED_VALUE"""),"Heidenreich.23@osu.edu")</f>
        <v>Heidenreich.23@osu.edu</v>
      </c>
      <c r="E298" s="41">
        <f>IFERROR(__xludf.DUMMYFUNCTION("""COMPUTED_VALUE"""),2024.0)</f>
        <v>2024</v>
      </c>
      <c r="F298" s="41" t="str">
        <f>IFERROR(__xludf.DUMMYFUNCTION("""COMPUTED_VALUE"""),"Xi")</f>
        <v>Xi</v>
      </c>
      <c r="G298" s="41" t="str">
        <f>IFERROR(__xludf.DUMMYFUNCTION("""COMPUTED_VALUE"""),"Toledo, OH")</f>
        <v>Toledo, OH</v>
      </c>
      <c r="H298" s="45" t="str">
        <f>IFERROR(__xludf.DUMMYFUNCTION("""COMPUTED_VALUE"""),"Thomas Porter Architects")</f>
        <v>Thomas Porter Architects</v>
      </c>
      <c r="I298" s="45" t="str">
        <f>IFERROR(__xludf.DUMMYFUNCTION("""COMPUTED_VALUE"""),"Architectural Designer")</f>
        <v>Architectural Designer</v>
      </c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1" t="str">
        <f>IFERROR(__xludf.DUMMYFUNCTION("""COMPUTED_VALUE"""),"Sammi")</f>
        <v>Sammi</v>
      </c>
      <c r="B299" s="41" t="str">
        <f>IFERROR(__xludf.DUMMYFUNCTION("""COMPUTED_VALUE"""),"Cheung")</f>
        <v>Cheung</v>
      </c>
      <c r="C299" s="45" t="str">
        <f>IFERROR(__xludf.DUMMYFUNCTION("""COMPUTED_VALUE"""),"(267) 370-8865")</f>
        <v>(267) 370-8865</v>
      </c>
      <c r="D299" s="45" t="str">
        <f>IFERROR(__xludf.DUMMYFUNCTION("""COMPUTED_VALUE"""),"sammicheung19@gmail.com")</f>
        <v>sammicheung19@gmail.com</v>
      </c>
      <c r="E299" s="41">
        <f>IFERROR(__xludf.DUMMYFUNCTION("""COMPUTED_VALUE"""),2024.0)</f>
        <v>2024</v>
      </c>
      <c r="F299" s="41" t="str">
        <f>IFERROR(__xludf.DUMMYFUNCTION("""COMPUTED_VALUE"""),"Pi")</f>
        <v>Pi</v>
      </c>
      <c r="G299" s="41" t="str">
        <f>IFERROR(__xludf.DUMMYFUNCTION("""COMPUTED_VALUE"""),"Washington DC")</f>
        <v>Washington DC</v>
      </c>
      <c r="H299" s="45" t="str">
        <f>IFERROR(__xludf.DUMMYFUNCTION("""COMPUTED_VALUE"""),"Deloitte")</f>
        <v>Deloitte</v>
      </c>
      <c r="I299" s="45" t="str">
        <f>IFERROR(__xludf.DUMMYFUNCTION("""COMPUTED_VALUE"""),"Business Analyst")</f>
        <v>Business Analyst</v>
      </c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1" t="str">
        <f>IFERROR(__xludf.DUMMYFUNCTION("""COMPUTED_VALUE"""),"Niki")</f>
        <v>Niki</v>
      </c>
      <c r="B300" s="41" t="str">
        <f>IFERROR(__xludf.DUMMYFUNCTION("""COMPUTED_VALUE"""),"Iyer")</f>
        <v>Iyer</v>
      </c>
      <c r="C300" s="45" t="str">
        <f>IFERROR(__xludf.DUMMYFUNCTION("""COMPUTED_VALUE"""),"(978) 429-7586")</f>
        <v>(978) 429-7586</v>
      </c>
      <c r="D300" s="45" t="str">
        <f>IFERROR(__xludf.DUMMYFUNCTION("""COMPUTED_VALUE"""),"ns123.iyer@gmail.com")</f>
        <v>ns123.iyer@gmail.com</v>
      </c>
      <c r="E300" s="41">
        <f>IFERROR(__xludf.DUMMYFUNCTION("""COMPUTED_VALUE"""),2024.0)</f>
        <v>2024</v>
      </c>
      <c r="F300" s="41" t="str">
        <f>IFERROR(__xludf.DUMMYFUNCTION("""COMPUTED_VALUE"""),"Pi")</f>
        <v>Pi</v>
      </c>
      <c r="G300" s="41" t="str">
        <f>IFERROR(__xludf.DUMMYFUNCTION("""COMPUTED_VALUE"""),"Washington DC")</f>
        <v>Washington DC</v>
      </c>
      <c r="H300" s="45" t="str">
        <f>IFERROR(__xludf.DUMMYFUNCTION("""COMPUTED_VALUE"""),"Capital One")</f>
        <v>Capital One</v>
      </c>
      <c r="I300" s="45" t="str">
        <f>IFERROR(__xludf.DUMMYFUNCTION("""COMPUTED_VALUE"""),"Senior Business Analyst")</f>
        <v>Senior Business Analyst</v>
      </c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1" t="str">
        <f>IFERROR(__xludf.DUMMYFUNCTION("""COMPUTED_VALUE"""),"Julia")</f>
        <v>Julia</v>
      </c>
      <c r="B301" s="41" t="str">
        <f>IFERROR(__xludf.DUMMYFUNCTION("""COMPUTED_VALUE"""),"Meyer")</f>
        <v>Meyer</v>
      </c>
      <c r="C301" s="45" t="str">
        <f>IFERROR(__xludf.DUMMYFUNCTION("""COMPUTED_VALUE"""),"(914) 907-5995")</f>
        <v>(914) 907-5995</v>
      </c>
      <c r="D301" s="45" t="str">
        <f>IFERROR(__xludf.DUMMYFUNCTION("""COMPUTED_VALUE"""),"julia.meyer2002@gmail.com")</f>
        <v>julia.meyer2002@gmail.com</v>
      </c>
      <c r="E301" s="41">
        <f>IFERROR(__xludf.DUMMYFUNCTION("""COMPUTED_VALUE"""),2024.0)</f>
        <v>2024</v>
      </c>
      <c r="F301" s="41" t="str">
        <f>IFERROR(__xludf.DUMMYFUNCTION("""COMPUTED_VALUE"""),"Rho")</f>
        <v>Rho</v>
      </c>
      <c r="G301" s="41" t="str">
        <f>IFERROR(__xludf.DUMMYFUNCTION("""COMPUTED_VALUE"""),"New York")</f>
        <v>New York</v>
      </c>
      <c r="H301" s="45" t="str">
        <f>IFERROR(__xludf.DUMMYFUNCTION("""COMPUTED_VALUE"""),"Kodiak Solutions")</f>
        <v>Kodiak Solutions</v>
      </c>
      <c r="I301" s="45" t="str">
        <f>IFERROR(__xludf.DUMMYFUNCTION("""COMPUTED_VALUE"""),"Healthcare Product Implementation Associate")</f>
        <v>Healthcare Product Implementation Associate</v>
      </c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1" t="str">
        <f>IFERROR(__xludf.DUMMYFUNCTION("""COMPUTED_VALUE"""),"Jason")</f>
        <v>Jason</v>
      </c>
      <c r="B302" s="41" t="str">
        <f>IFERROR(__xludf.DUMMYFUNCTION("""COMPUTED_VALUE"""),"Roehrs")</f>
        <v>Roehrs</v>
      </c>
      <c r="C302" s="45" t="str">
        <f>IFERROR(__xludf.DUMMYFUNCTION("""COMPUTED_VALUE"""),"(513) 472-0207")</f>
        <v>(513) 472-0207</v>
      </c>
      <c r="D302" s="45" t="str">
        <f>IFERROR(__xludf.DUMMYFUNCTION("""COMPUTED_VALUE"""),"roehrs.jason@gmail.com")</f>
        <v>roehrs.jason@gmail.com</v>
      </c>
      <c r="E302" s="41">
        <f>IFERROR(__xludf.DUMMYFUNCTION("""COMPUTED_VALUE"""),2024.0)</f>
        <v>2024</v>
      </c>
      <c r="F302" s="41" t="str">
        <f>IFERROR(__xludf.DUMMYFUNCTION("""COMPUTED_VALUE"""),"Sigma")</f>
        <v>Sigma</v>
      </c>
      <c r="G302" s="41" t="str">
        <f>IFERROR(__xludf.DUMMYFUNCTION("""COMPUTED_VALUE"""),"Baltimore")</f>
        <v>Baltimore</v>
      </c>
      <c r="H302" s="45" t="str">
        <f>IFERROR(__xludf.DUMMYFUNCTION("""COMPUTED_VALUE"""),"StepStone Group")</f>
        <v>StepStone Group</v>
      </c>
      <c r="I302" s="45" t="str">
        <f>IFERROR(__xludf.DUMMYFUNCTION("""COMPUTED_VALUE"""),"Venture Capital Analyst")</f>
        <v>Venture Capital Analyst</v>
      </c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1" t="str">
        <f>IFERROR(__xludf.DUMMYFUNCTION("""COMPUTED_VALUE"""),"Jack")</f>
        <v>Jack</v>
      </c>
      <c r="B303" s="41" t="str">
        <f>IFERROR(__xludf.DUMMYFUNCTION("""COMPUTED_VALUE"""),"Sayre")</f>
        <v>Sayre</v>
      </c>
      <c r="C303" s="45" t="str">
        <f>IFERROR(__xludf.DUMMYFUNCTION("""COMPUTED_VALUE"""),"(513) 371-8638")</f>
        <v>(513) 371-8638</v>
      </c>
      <c r="D303" s="45" t="str">
        <f>IFERROR(__xludf.DUMMYFUNCTION("""COMPUTED_VALUE"""),"jack@thesayres.net")</f>
        <v>jack@thesayres.net</v>
      </c>
      <c r="E303" s="41">
        <f>IFERROR(__xludf.DUMMYFUNCTION("""COMPUTED_VALUE"""),2024.0)</f>
        <v>2024</v>
      </c>
      <c r="F303" s="41" t="str">
        <f>IFERROR(__xludf.DUMMYFUNCTION("""COMPUTED_VALUE"""),"Sigma")</f>
        <v>Sigma</v>
      </c>
      <c r="G303" s="41" t="str">
        <f>IFERROR(__xludf.DUMMYFUNCTION("""COMPUTED_VALUE"""),"New York")</f>
        <v>New York</v>
      </c>
      <c r="H303" s="45" t="str">
        <f>IFERROR(__xludf.DUMMYFUNCTION("""COMPUTED_VALUE"""),"Deloitte")</f>
        <v>Deloitte</v>
      </c>
      <c r="I303" s="45" t="str">
        <f>IFERROR(__xludf.DUMMYFUNCTION("""COMPUTED_VALUE"""),"AI &amp; Data Engineering Analyst")</f>
        <v>AI &amp; Data Engineering Analyst</v>
      </c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1" t="str">
        <f>IFERROR(__xludf.DUMMYFUNCTION("""COMPUTED_VALUE"""),"Beckett")</f>
        <v>Beckett</v>
      </c>
      <c r="B304" s="41" t="str">
        <f>IFERROR(__xludf.DUMMYFUNCTION("""COMPUTED_VALUE"""),"Bessinger")</f>
        <v>Bessinger</v>
      </c>
      <c r="C304" s="45" t="str">
        <f>IFERROR(__xludf.DUMMYFUNCTION("""COMPUTED_VALUE"""),"(401) 239-8414")</f>
        <v>(401) 239-8414</v>
      </c>
      <c r="D304" s="45" t="str">
        <f>IFERROR(__xludf.DUMMYFUNCTION("""COMPUTED_VALUE"""),"beckettbessinger1@gmail.com")</f>
        <v>beckettbessinger1@gmail.com</v>
      </c>
      <c r="E304" s="41">
        <f>IFERROR(__xludf.DUMMYFUNCTION("""COMPUTED_VALUE"""),2024.0)</f>
        <v>2024</v>
      </c>
      <c r="F304" s="41" t="str">
        <f>IFERROR(__xludf.DUMMYFUNCTION("""COMPUTED_VALUE"""),"Tau")</f>
        <v>Tau</v>
      </c>
      <c r="G304" s="41" t="str">
        <f>IFERROR(__xludf.DUMMYFUNCTION("""COMPUTED_VALUE"""),"Miami")</f>
        <v>Miami</v>
      </c>
      <c r="H304" s="45" t="str">
        <f>IFERROR(__xludf.DUMMYFUNCTION("""COMPUTED_VALUE"""),"Conservative Energy Network")</f>
        <v>Conservative Energy Network</v>
      </c>
      <c r="I304" s="45" t="str">
        <f>IFERROR(__xludf.DUMMYFUNCTION("""COMPUTED_VALUE"""),"Events &amp; Grants Coordinator")</f>
        <v>Events &amp; Grants Coordinator</v>
      </c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1" t="str">
        <f>IFERROR(__xludf.DUMMYFUNCTION("""COMPUTED_VALUE"""),"David")</f>
        <v>David</v>
      </c>
      <c r="B305" s="41" t="str">
        <f>IFERROR(__xludf.DUMMYFUNCTION("""COMPUTED_VALUE"""),"Thomas")</f>
        <v>Thomas</v>
      </c>
      <c r="C305" s="45" t="str">
        <f>IFERROR(__xludf.DUMMYFUNCTION("""COMPUTED_VALUE"""),"(330) 607-2127")</f>
        <v>(330) 607-2127</v>
      </c>
      <c r="D305" s="45" t="str">
        <f>IFERROR(__xludf.DUMMYFUNCTION("""COMPUTED_VALUE"""),"davidjthomas94@gmail.com")</f>
        <v>davidjthomas94@gmail.com</v>
      </c>
      <c r="E305" s="41"/>
      <c r="F305" s="41" t="str">
        <f>IFERROR(__xludf.DUMMYFUNCTION("""COMPUTED_VALUE"""),"Delta")</f>
        <v>Delta</v>
      </c>
      <c r="G305" s="41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1" t="str">
        <f>IFERROR(__xludf.DUMMYFUNCTION("""COMPUTED_VALUE"""),"Bryant")</f>
        <v>Bryant</v>
      </c>
      <c r="B306" s="41" t="str">
        <f>IFERROR(__xludf.DUMMYFUNCTION("""COMPUTED_VALUE"""),"Yan")</f>
        <v>Yan</v>
      </c>
      <c r="C306" s="45" t="str">
        <f>IFERROR(__xludf.DUMMYFUNCTION("""COMPUTED_VALUE"""),"(614) 707-6250")</f>
        <v>(614) 707-6250</v>
      </c>
      <c r="D306" s="45"/>
      <c r="E306" s="41">
        <f>IFERROR(__xludf.DUMMYFUNCTION("""COMPUTED_VALUE"""),2016.0)</f>
        <v>2016</v>
      </c>
      <c r="F306" s="41" t="str">
        <f>IFERROR(__xludf.DUMMYFUNCTION("""COMPUTED_VALUE"""),"Delta")</f>
        <v>Delta</v>
      </c>
      <c r="G306" s="41" t="str">
        <f>IFERROR(__xludf.DUMMYFUNCTION("""COMPUTED_VALUE"""),"Chicago")</f>
        <v>Chicago</v>
      </c>
      <c r="H306" s="45" t="str">
        <f>IFERROR(__xludf.DUMMYFUNCTION("""COMPUTED_VALUE"""),"PwC (?)")</f>
        <v>PwC (?)</v>
      </c>
      <c r="I306" s="45" t="str">
        <f>IFERROR(__xludf.DUMMYFUNCTION("""COMPUTED_VALUE"""),"M&amp;A Associate")</f>
        <v>M&amp;A Associate</v>
      </c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1" t="str">
        <f>IFERROR(__xludf.DUMMYFUNCTION("""COMPUTED_VALUE"""),"Sabrina")</f>
        <v>Sabrina</v>
      </c>
      <c r="B307" s="41" t="str">
        <f>IFERROR(__xludf.DUMMYFUNCTION("""COMPUTED_VALUE"""),"Fadel")</f>
        <v>Fadel</v>
      </c>
      <c r="C307" s="45" t="str">
        <f>IFERROR(__xludf.DUMMYFUNCTION("""COMPUTED_VALUE"""),"(216) 421-4393")</f>
        <v>(216) 421-4393</v>
      </c>
      <c r="D307" s="45" t="str">
        <f>IFERROR(__xludf.DUMMYFUNCTION("""COMPUTED_VALUE"""),"fadel.sabrina03@gmail.com")</f>
        <v>fadel.sabrina03@gmail.com</v>
      </c>
      <c r="E307" s="41">
        <f>IFERROR(__xludf.DUMMYFUNCTION("""COMPUTED_VALUE"""),2025.0)</f>
        <v>2025</v>
      </c>
      <c r="F307" s="41" t="str">
        <f>IFERROR(__xludf.DUMMYFUNCTION("""COMPUTED_VALUE"""),"Tau")</f>
        <v>Tau</v>
      </c>
      <c r="G307" s="41" t="str">
        <f>IFERROR(__xludf.DUMMYFUNCTION("""COMPUTED_VALUE"""),"Chicago")</f>
        <v>Chicago</v>
      </c>
      <c r="H307" s="45" t="str">
        <f>IFERROR(__xludf.DUMMYFUNCTION("""COMPUTED_VALUE"""),"PwC")</f>
        <v>PwC</v>
      </c>
      <c r="I307" s="45" t="str">
        <f>IFERROR(__xludf.DUMMYFUNCTION("""COMPUTED_VALUE"""),"M&amp;A Tax Associate")</f>
        <v>M&amp;A Tax Associate</v>
      </c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1" t="str">
        <f>IFERROR(__xludf.DUMMYFUNCTION("""COMPUTED_VALUE"""),"Hannah")</f>
        <v>Hannah</v>
      </c>
      <c r="B308" s="41" t="str">
        <f>IFERROR(__xludf.DUMMYFUNCTION("""COMPUTED_VALUE"""),"Wagoner")</f>
        <v>Wagoner</v>
      </c>
      <c r="C308" s="45" t="str">
        <f>IFERROR(__xludf.DUMMYFUNCTION("""COMPUTED_VALUE"""),"(614) 357-3085")</f>
        <v>(614) 357-3085</v>
      </c>
      <c r="D308" s="45" t="str">
        <f>IFERROR(__xludf.DUMMYFUNCTION("""COMPUTED_VALUE"""),"hlwagoner@icloud.com")</f>
        <v>hlwagoner@icloud.com</v>
      </c>
      <c r="E308" s="41">
        <f>IFERROR(__xludf.DUMMYFUNCTION("""COMPUTED_VALUE"""),2025.0)</f>
        <v>2025</v>
      </c>
      <c r="F308" s="41" t="str">
        <f>IFERROR(__xludf.DUMMYFUNCTION("""COMPUTED_VALUE"""),"Sigma")</f>
        <v>Sigma</v>
      </c>
      <c r="G308" s="41" t="str">
        <f>IFERROR(__xludf.DUMMYFUNCTION("""COMPUTED_VALUE"""),"Cincinnati")</f>
        <v>Cincinnati</v>
      </c>
      <c r="H308" s="45" t="str">
        <f>IFERROR(__xludf.DUMMYFUNCTION("""COMPUTED_VALUE"""),"GE Aerospace")</f>
        <v>GE Aerospace</v>
      </c>
      <c r="I308" s="45" t="str">
        <f>IFERROR(__xludf.DUMMYFUNCTION("""COMPUTED_VALUE"""),"FP&amp;A Financial Analyst")</f>
        <v>FP&amp;A Financial Analyst</v>
      </c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1" t="str">
        <f>IFERROR(__xludf.DUMMYFUNCTION("""COMPUTED_VALUE"""),"Jenna")</f>
        <v>Jenna</v>
      </c>
      <c r="B309" s="41" t="str">
        <f>IFERROR(__xludf.DUMMYFUNCTION("""COMPUTED_VALUE"""),"Wagoner")</f>
        <v>Wagoner</v>
      </c>
      <c r="C309" s="45" t="str">
        <f>IFERROR(__xludf.DUMMYFUNCTION("""COMPUTED_VALUE"""),"(614) 981-4492")</f>
        <v>(614) 981-4492</v>
      </c>
      <c r="D309" s="45" t="str">
        <f>IFERROR(__xludf.DUMMYFUNCTION("""COMPUTED_VALUE"""),"jennagwagoner10@gmail.com")</f>
        <v>jennagwagoner10@gmail.com</v>
      </c>
      <c r="E309" s="41">
        <f>IFERROR(__xludf.DUMMYFUNCTION("""COMPUTED_VALUE"""),2025.0)</f>
        <v>2025</v>
      </c>
      <c r="F309" s="41" t="str">
        <f>IFERROR(__xludf.DUMMYFUNCTION("""COMPUTED_VALUE"""),"Tau")</f>
        <v>Tau</v>
      </c>
      <c r="G309" s="41" t="str">
        <f>IFERROR(__xludf.DUMMYFUNCTION("""COMPUTED_VALUE"""),"Columbus")</f>
        <v>Columbus</v>
      </c>
      <c r="H309" s="45" t="str">
        <f>IFERROR(__xludf.DUMMYFUNCTION("""COMPUTED_VALUE"""),"Cardinal Health")</f>
        <v>Cardinal Health</v>
      </c>
      <c r="I309" s="45" t="str">
        <f>IFERROR(__xludf.DUMMYFUNCTION("""COMPUTED_VALUE"""),"Sr. Analyst - Event Marketing Operations")</f>
        <v>Sr. Analyst - Event Marketing Operations</v>
      </c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1" t="str">
        <f>IFERROR(__xludf.DUMMYFUNCTION("""COMPUTED_VALUE"""),"Zach")</f>
        <v>Zach</v>
      </c>
      <c r="B310" s="41" t="str">
        <f>IFERROR(__xludf.DUMMYFUNCTION("""COMPUTED_VALUE"""),"George")</f>
        <v>George</v>
      </c>
      <c r="C310" s="45" t="str">
        <f>IFERROR(__xludf.DUMMYFUNCTION("""COMPUTED_VALUE"""),"(513) 739-4025")</f>
        <v>(513) 739-4025</v>
      </c>
      <c r="D310" s="45" t="str">
        <f>IFERROR(__xludf.DUMMYFUNCTION("""COMPUTED_VALUE"""),"zachgeorge21@gmail.com")</f>
        <v>zachgeorge21@gmail.com</v>
      </c>
      <c r="E310" s="41">
        <f>IFERROR(__xludf.DUMMYFUNCTION("""COMPUTED_VALUE"""),2025.0)</f>
        <v>2025</v>
      </c>
      <c r="F310" s="41" t="str">
        <f>IFERROR(__xludf.DUMMYFUNCTION("""COMPUTED_VALUE"""),"Tau")</f>
        <v>Tau</v>
      </c>
      <c r="G310" s="41" t="str">
        <f>IFERROR(__xludf.DUMMYFUNCTION("""COMPUTED_VALUE"""),"Chicago")</f>
        <v>Chicago</v>
      </c>
      <c r="H310" s="45" t="str">
        <f>IFERROR(__xludf.DUMMYFUNCTION("""COMPUTED_VALUE"""),"JP Morgan")</f>
        <v>JP Morgan</v>
      </c>
      <c r="I310" s="45" t="str">
        <f>IFERROR(__xludf.DUMMYFUNCTION("""COMPUTED_VALUE"""),"Private Bank Analyst")</f>
        <v>Private Bank Analyst</v>
      </c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1" t="str">
        <f>IFERROR(__xludf.DUMMYFUNCTION("""COMPUTED_VALUE"""),"Hope")</f>
        <v>Hope</v>
      </c>
      <c r="B311" s="41" t="str">
        <f>IFERROR(__xludf.DUMMYFUNCTION("""COMPUTED_VALUE"""),"Tageson")</f>
        <v>Tageson</v>
      </c>
      <c r="C311" s="45"/>
      <c r="D311" s="45"/>
      <c r="E311" s="41">
        <f>IFERROR(__xludf.DUMMYFUNCTION("""COMPUTED_VALUE"""),2025.0)</f>
        <v>2025</v>
      </c>
      <c r="F311" s="41" t="str">
        <f>IFERROR(__xludf.DUMMYFUNCTION("""COMPUTED_VALUE"""),"Rho")</f>
        <v>Rho</v>
      </c>
      <c r="G311" s="41" t="str">
        <f>IFERROR(__xludf.DUMMYFUNCTION("""COMPUTED_VALUE"""),"Columbus")</f>
        <v>Columbus</v>
      </c>
      <c r="H311" s="45" t="str">
        <f>IFERROR(__xludf.DUMMYFUNCTION("""COMPUTED_VALUE"""),"Deloitte")</f>
        <v>Deloitte</v>
      </c>
      <c r="I311" s="45" t="str">
        <f>IFERROR(__xludf.DUMMYFUNCTION("""COMPUTED_VALUE"""),"TPA Analysis")</f>
        <v>TPA Analysis</v>
      </c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1" t="str">
        <f>IFERROR(__xludf.DUMMYFUNCTION("""COMPUTED_VALUE"""),"Macie")</f>
        <v>Macie</v>
      </c>
      <c r="B312" s="41" t="str">
        <f>IFERROR(__xludf.DUMMYFUNCTION("""COMPUTED_VALUE"""),"Caldwell")</f>
        <v>Caldwell</v>
      </c>
      <c r="C312" s="45"/>
      <c r="D312" s="45" t="str">
        <f>IFERROR(__xludf.DUMMYFUNCTION("""COMPUTED_VALUE"""),"maciecaldwell.878@gmail.com")</f>
        <v>maciecaldwell.878@gmail.com</v>
      </c>
      <c r="E312" s="41">
        <f>IFERROR(__xludf.DUMMYFUNCTION("""COMPUTED_VALUE"""),2025.0)</f>
        <v>2025</v>
      </c>
      <c r="F312" s="41" t="str">
        <f>IFERROR(__xludf.DUMMYFUNCTION("""COMPUTED_VALUE"""),"Tau")</f>
        <v>Tau</v>
      </c>
      <c r="G312" s="41" t="str">
        <f>IFERROR(__xludf.DUMMYFUNCTION("""COMPUTED_VALUE"""),"Washington DC")</f>
        <v>Washington DC</v>
      </c>
      <c r="H312" s="45" t="str">
        <f>IFERROR(__xludf.DUMMYFUNCTION("""COMPUTED_VALUE"""),"Capital One")</f>
        <v>Capital One</v>
      </c>
      <c r="I312" s="45" t="str">
        <f>IFERROR(__xludf.DUMMYFUNCTION("""COMPUTED_VALUE"""),"Corporate Strategy Associate")</f>
        <v>Corporate Strategy Associate</v>
      </c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1" t="str">
        <f>IFERROR(__xludf.DUMMYFUNCTION("""COMPUTED_VALUE"""),"Rachael")</f>
        <v>Rachael</v>
      </c>
      <c r="B313" s="41" t="str">
        <f>IFERROR(__xludf.DUMMYFUNCTION("""COMPUTED_VALUE"""),"Robinson")</f>
        <v>Robinson</v>
      </c>
      <c r="C313" s="45" t="str">
        <f>IFERROR(__xludf.DUMMYFUNCTION("""COMPUTED_VALUE"""),"(330) 419-9236")</f>
        <v>(330) 419-9236</v>
      </c>
      <c r="D313" s="45" t="str">
        <f>IFERROR(__xludf.DUMMYFUNCTION("""COMPUTED_VALUE"""),"Rachrob11@icloud.com")</f>
        <v>Rachrob11@icloud.com</v>
      </c>
      <c r="E313" s="41">
        <f>IFERROR(__xludf.DUMMYFUNCTION("""COMPUTED_VALUE"""),2025.0)</f>
        <v>2025</v>
      </c>
      <c r="F313" s="41" t="str">
        <f>IFERROR(__xludf.DUMMYFUNCTION("""COMPUTED_VALUE"""),"Sigma")</f>
        <v>Sigma</v>
      </c>
      <c r="G313" s="41" t="str">
        <f>IFERROR(__xludf.DUMMYFUNCTION("""COMPUTED_VALUE"""),"Cincinnati")</f>
        <v>Cincinnati</v>
      </c>
      <c r="H313" s="45" t="str">
        <f>IFERROR(__xludf.DUMMYFUNCTION("""COMPUTED_VALUE"""),"Proctor &amp; Gamble")</f>
        <v>Proctor &amp; Gamble</v>
      </c>
      <c r="I313" s="45" t="str">
        <f>IFERROR(__xludf.DUMMYFUNCTION("""COMPUTED_VALUE"""),"Analytics &amp; Insights Manager")</f>
        <v>Analytics &amp; Insights Manager</v>
      </c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1" t="str">
        <f>IFERROR(__xludf.DUMMYFUNCTION("""COMPUTED_VALUE"""),"Olivia")</f>
        <v>Olivia</v>
      </c>
      <c r="B314" s="41" t="str">
        <f>IFERROR(__xludf.DUMMYFUNCTION("""COMPUTED_VALUE"""),"Bewie")</f>
        <v>Bewie</v>
      </c>
      <c r="C314" s="45" t="str">
        <f>IFERROR(__xludf.DUMMYFUNCTION("""COMPUTED_VALUE"""),"(440) 623-6683")</f>
        <v>(440) 623-6683</v>
      </c>
      <c r="D314" s="45" t="str">
        <f>IFERROR(__xludf.DUMMYFUNCTION("""COMPUTED_VALUE"""),"obewie@gmail.com")</f>
        <v>obewie@gmail.com</v>
      </c>
      <c r="E314" s="41">
        <f>IFERROR(__xludf.DUMMYFUNCTION("""COMPUTED_VALUE"""),2025.0)</f>
        <v>2025</v>
      </c>
      <c r="F314" s="41" t="str">
        <f>IFERROR(__xludf.DUMMYFUNCTION("""COMPUTED_VALUE"""),"Rho")</f>
        <v>Rho</v>
      </c>
      <c r="G314" s="41" t="str">
        <f>IFERROR(__xludf.DUMMYFUNCTION("""COMPUTED_VALUE"""),"Cleveland")</f>
        <v>Cleveland</v>
      </c>
      <c r="H314" s="45" t="str">
        <f>IFERROR(__xludf.DUMMYFUNCTION("""COMPUTED_VALUE"""),"KeyBanc Capital Markets")</f>
        <v>KeyBanc Capital Markets</v>
      </c>
      <c r="I314" s="45" t="str">
        <f>IFERROR(__xludf.DUMMYFUNCTION("""COMPUTED_VALUE"""),"Mergers &amp; Acquisitions Investment Banking Analyst")</f>
        <v>Mergers &amp; Acquisitions Investment Banking Analyst</v>
      </c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1" t="str">
        <f>IFERROR(__xludf.DUMMYFUNCTION("""COMPUTED_VALUE"""),"Dhruv")</f>
        <v>Dhruv</v>
      </c>
      <c r="B315" s="41" t="str">
        <f>IFERROR(__xludf.DUMMYFUNCTION("""COMPUTED_VALUE"""),"Velineni")</f>
        <v>Velineni</v>
      </c>
      <c r="C315" s="45"/>
      <c r="D315" s="45"/>
      <c r="E315" s="41">
        <f>IFERROR(__xludf.DUMMYFUNCTION("""COMPUTED_VALUE"""),2025.0)</f>
        <v>2025</v>
      </c>
      <c r="F315" s="41" t="str">
        <f>IFERROR(__xludf.DUMMYFUNCTION("""COMPUTED_VALUE"""),"Sigma")</f>
        <v>Sigma</v>
      </c>
      <c r="G315" s="41" t="str">
        <f>IFERROR(__xludf.DUMMYFUNCTION("""COMPUTED_VALUE"""),"Kansas City")</f>
        <v>Kansas City</v>
      </c>
      <c r="H315" s="45" t="str">
        <f>IFERROR(__xludf.DUMMYFUNCTION("""COMPUTED_VALUE"""),"1898 &amp; Co.")</f>
        <v>1898 &amp; Co.</v>
      </c>
      <c r="I315" s="45" t="str">
        <f>IFERROR(__xludf.DUMMYFUNCTION("""COMPUTED_VALUE"""),"Investment Banking Analyst")</f>
        <v>Investment Banking Analyst</v>
      </c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1" t="str">
        <f>IFERROR(__xludf.DUMMYFUNCTION("""COMPUTED_VALUE"""),"Lauren")</f>
        <v>Lauren</v>
      </c>
      <c r="B316" s="41" t="str">
        <f>IFERROR(__xludf.DUMMYFUNCTION("""COMPUTED_VALUE"""),"Gause")</f>
        <v>Gause</v>
      </c>
      <c r="C316" s="45" t="str">
        <f>IFERROR(__xludf.DUMMYFUNCTION("""COMPUTED_VALUE"""),"(513) 814-9116")</f>
        <v>(513) 814-9116</v>
      </c>
      <c r="D316" s="45" t="str">
        <f>IFERROR(__xludf.DUMMYFUNCTION("""COMPUTED_VALUE"""),"gauselm10@gmail.com")</f>
        <v>gauselm10@gmail.com</v>
      </c>
      <c r="E316" s="41">
        <f>IFERROR(__xludf.DUMMYFUNCTION("""COMPUTED_VALUE"""),2025.0)</f>
        <v>2025</v>
      </c>
      <c r="F316" s="41" t="str">
        <f>IFERROR(__xludf.DUMMYFUNCTION("""COMPUTED_VALUE"""),"Rho")</f>
        <v>Rho</v>
      </c>
      <c r="G316" s="41" t="str">
        <f>IFERROR(__xludf.DUMMYFUNCTION("""COMPUTED_VALUE"""),"Columbus")</f>
        <v>Columbus</v>
      </c>
      <c r="H316" s="45" t="str">
        <f>IFERROR(__xludf.DUMMYFUNCTION("""COMPUTED_VALUE"""),"Abercrombie &amp; Fitch Co.")</f>
        <v>Abercrombie &amp; Fitch Co.</v>
      </c>
      <c r="I316" s="45" t="str">
        <f>IFERROR(__xludf.DUMMYFUNCTION("""COMPUTED_VALUE"""),"Merchandise Planning Intern")</f>
        <v>Merchandise Planning Intern</v>
      </c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1" t="str">
        <f>IFERROR(__xludf.DUMMYFUNCTION("""COMPUTED_VALUE"""),"Josh")</f>
        <v>Josh</v>
      </c>
      <c r="B317" s="41" t="str">
        <f>IFERROR(__xludf.DUMMYFUNCTION("""COMPUTED_VALUE"""),"Marino")</f>
        <v>Marino</v>
      </c>
      <c r="C317" s="45"/>
      <c r="D317" s="45" t="str">
        <f>IFERROR(__xludf.DUMMYFUNCTION("""COMPUTED_VALUE"""),"marino.210@osu.edu")</f>
        <v>marino.210@osu.edu</v>
      </c>
      <c r="E317" s="41">
        <f>IFERROR(__xludf.DUMMYFUNCTION("""COMPUTED_VALUE"""),2025.0)</f>
        <v>2025</v>
      </c>
      <c r="F317" s="41" t="str">
        <f>IFERROR(__xludf.DUMMYFUNCTION("""COMPUTED_VALUE"""),"Sigma")</f>
        <v>Sigma</v>
      </c>
      <c r="G317" s="41"/>
      <c r="H317" s="45" t="str">
        <f>IFERROR(__xludf.DUMMYFUNCTION("""COMPUTED_VALUE"""),"BCG")</f>
        <v>BCG</v>
      </c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1" t="str">
        <f>IFERROR(__xludf.DUMMYFUNCTION("""COMPUTED_VALUE"""),"Rachel")</f>
        <v>Rachel</v>
      </c>
      <c r="B318" s="41" t="str">
        <f>IFERROR(__xludf.DUMMYFUNCTION("""COMPUTED_VALUE"""),"Boyle")</f>
        <v>Boyle</v>
      </c>
      <c r="C318" s="45" t="str">
        <f>IFERROR(__xludf.DUMMYFUNCTION("""COMPUTED_VALUE"""),"(571) 867-7873")</f>
        <v>(571) 867-7873</v>
      </c>
      <c r="D318" s="45" t="str">
        <f>IFERROR(__xludf.DUMMYFUNCTION("""COMPUTED_VALUE"""),"Rachelb104@yahoo.com")</f>
        <v>Rachelb104@yahoo.com</v>
      </c>
      <c r="E318" s="41">
        <f>IFERROR(__xludf.DUMMYFUNCTION("""COMPUTED_VALUE"""),2025.0)</f>
        <v>2025</v>
      </c>
      <c r="F318" s="41" t="str">
        <f>IFERROR(__xludf.DUMMYFUNCTION("""COMPUTED_VALUE"""),"Sigma")</f>
        <v>Sigma</v>
      </c>
      <c r="G318" s="41" t="str">
        <f>IFERROR(__xludf.DUMMYFUNCTION("""COMPUTED_VALUE"""),"Denver")</f>
        <v>Denver</v>
      </c>
      <c r="H318" s="45" t="str">
        <f>IFERROR(__xludf.DUMMYFUNCTION("""COMPUTED_VALUE"""),"US Bank")</f>
        <v>US Bank</v>
      </c>
      <c r="I318" s="45" t="str">
        <f>IFERROR(__xludf.DUMMYFUNCTION("""COMPUTED_VALUE"""),"Relationship Management Analyst (Banking)")</f>
        <v>Relationship Management Analyst (Banking)</v>
      </c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1" t="str">
        <f>IFERROR(__xludf.DUMMYFUNCTION("""COMPUTED_VALUE"""),"Jenna")</f>
        <v>Jenna</v>
      </c>
      <c r="B319" s="41" t="str">
        <f>IFERROR(__xludf.DUMMYFUNCTION("""COMPUTED_VALUE"""),"Biedenharn")</f>
        <v>Biedenharn</v>
      </c>
      <c r="C319" s="45"/>
      <c r="D319" s="45"/>
      <c r="E319" s="41">
        <f>IFERROR(__xludf.DUMMYFUNCTION("""COMPUTED_VALUE"""),2025.0)</f>
        <v>2025</v>
      </c>
      <c r="F319" s="41" t="str">
        <f>IFERROR(__xludf.DUMMYFUNCTION("""COMPUTED_VALUE"""),"Upsilon")</f>
        <v>Upsilon</v>
      </c>
      <c r="G319" s="41" t="str">
        <f>IFERROR(__xludf.DUMMYFUNCTION("""COMPUTED_VALUE"""),"Columbus")</f>
        <v>Columbus</v>
      </c>
      <c r="H319" s="45" t="str">
        <f>IFERROR(__xludf.DUMMYFUNCTION("""COMPUTED_VALUE"""),"Sunshine Communities")</f>
        <v>Sunshine Communities</v>
      </c>
      <c r="I319" s="45" t="str">
        <f>IFERROR(__xludf.DUMMYFUNCTION("""COMPUTED_VALUE"""),"Seasonal Direct Support Professional")</f>
        <v>Seasonal Direct Support Professional</v>
      </c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1" t="str">
        <f>IFERROR(__xludf.DUMMYFUNCTION("""COMPUTED_VALUE"""),"Marty")</f>
        <v>Marty</v>
      </c>
      <c r="B320" s="41" t="str">
        <f>IFERROR(__xludf.DUMMYFUNCTION("""COMPUTED_VALUE"""),"Kahn")</f>
        <v>Kahn</v>
      </c>
      <c r="C320" s="45" t="str">
        <f>IFERROR(__xludf.DUMMYFUNCTION("""COMPUTED_VALUE"""),"(513) 284-5577")</f>
        <v>(513) 284-5577</v>
      </c>
      <c r="D320" s="45" t="str">
        <f>IFERROR(__xludf.DUMMYFUNCTION("""COMPUTED_VALUE"""),"martyskahn@gmail.com")</f>
        <v>martyskahn@gmail.com</v>
      </c>
      <c r="E320" s="41">
        <f>IFERROR(__xludf.DUMMYFUNCTION("""COMPUTED_VALUE"""),2025.0)</f>
        <v>2025</v>
      </c>
      <c r="F320" s="41" t="str">
        <f>IFERROR(__xludf.DUMMYFUNCTION("""COMPUTED_VALUE"""),"Tau")</f>
        <v>Tau</v>
      </c>
      <c r="G320" s="41" t="str">
        <f>IFERROR(__xludf.DUMMYFUNCTION("""COMPUTED_VALUE"""),"Cincinnati")</f>
        <v>Cincinnati</v>
      </c>
      <c r="H320" s="45" t="str">
        <f>IFERROR(__xludf.DUMMYFUNCTION("""COMPUTED_VALUE"""),"Proctor &amp; Gamble")</f>
        <v>Proctor &amp; Gamble</v>
      </c>
      <c r="I320" s="45" t="str">
        <f>IFERROR(__xludf.DUMMYFUNCTION("""COMPUTED_VALUE"""),"AI Product Manager")</f>
        <v>AI Product Manager</v>
      </c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1" t="str">
        <f>IFERROR(__xludf.DUMMYFUNCTION("""COMPUTED_VALUE"""),"Carmen")</f>
        <v>Carmen</v>
      </c>
      <c r="B321" s="41" t="str">
        <f>IFERROR(__xludf.DUMMYFUNCTION("""COMPUTED_VALUE"""),"Reis")</f>
        <v>Reis</v>
      </c>
      <c r="C321" s="45" t="str">
        <f>IFERROR(__xludf.DUMMYFUNCTION("""COMPUTED_VALUE"""),"(614) 339-9823")</f>
        <v>(614) 339-9823</v>
      </c>
      <c r="D321" s="45" t="str">
        <f>IFERROR(__xludf.DUMMYFUNCTION("""COMPUTED_VALUE"""),"ctreis.24@gmail.com")</f>
        <v>ctreis.24@gmail.com</v>
      </c>
      <c r="E321" s="41">
        <f>IFERROR(__xludf.DUMMYFUNCTION("""COMPUTED_VALUE"""),2025.0)</f>
        <v>2025</v>
      </c>
      <c r="F321" s="41" t="str">
        <f>IFERROR(__xludf.DUMMYFUNCTION("""COMPUTED_VALUE"""),"Rho")</f>
        <v>Rho</v>
      </c>
      <c r="G321" s="41" t="str">
        <f>IFERROR(__xludf.DUMMYFUNCTION("""COMPUTED_VALUE"""),"Chicago")</f>
        <v>Chicago</v>
      </c>
      <c r="H321" s="45" t="str">
        <f>IFERROR(__xludf.DUMMYFUNCTION("""COMPUTED_VALUE"""),"EY Parthenon")</f>
        <v>EY Parthenon</v>
      </c>
      <c r="I321" s="45" t="str">
        <f>IFERROR(__xludf.DUMMYFUNCTION("""COMPUTED_VALUE"""),"Business Valuations Associate")</f>
        <v>Business Valuations Associate</v>
      </c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1" t="str">
        <f>IFERROR(__xludf.DUMMYFUNCTION("""COMPUTED_VALUE"""),"Erin")</f>
        <v>Erin</v>
      </c>
      <c r="B322" s="41" t="str">
        <f>IFERROR(__xludf.DUMMYFUNCTION("""COMPUTED_VALUE"""),"Rodgers")</f>
        <v>Rodgers</v>
      </c>
      <c r="C322" s="45" t="str">
        <f>IFERROR(__xludf.DUMMYFUNCTION("""COMPUTED_VALUE"""),"(724) 900-9755")</f>
        <v>(724) 900-9755</v>
      </c>
      <c r="D322" s="45" t="str">
        <f>IFERROR(__xludf.DUMMYFUNCTION("""COMPUTED_VALUE"""),"ejlrodgers@gmail.com")</f>
        <v>ejlrodgers@gmail.com</v>
      </c>
      <c r="E322" s="41">
        <f>IFERROR(__xludf.DUMMYFUNCTION("""COMPUTED_VALUE"""),2025.0)</f>
        <v>2025</v>
      </c>
      <c r="F322" s="41" t="str">
        <f>IFERROR(__xludf.DUMMYFUNCTION("""COMPUTED_VALUE"""),"Sigma")</f>
        <v>Sigma</v>
      </c>
      <c r="G322" s="41" t="str">
        <f>IFERROR(__xludf.DUMMYFUNCTION("""COMPUTED_VALUE"""),"Washington DC")</f>
        <v>Washington DC</v>
      </c>
      <c r="H322" s="45" t="str">
        <f>IFERROR(__xludf.DUMMYFUNCTION("""COMPUTED_VALUE"""),"PwC")</f>
        <v>PwC</v>
      </c>
      <c r="I322" s="45" t="str">
        <f>IFERROR(__xludf.DUMMYFUNCTION("""COMPUTED_VALUE"""),"Associate, M&amp;A Advisory")</f>
        <v>Associate, M&amp;A Advisory</v>
      </c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1" t="str">
        <f>IFERROR(__xludf.DUMMYFUNCTION("""COMPUTED_VALUE"""),"Jared")</f>
        <v>Jared</v>
      </c>
      <c r="B323" s="41" t="str">
        <f>IFERROR(__xludf.DUMMYFUNCTION("""COMPUTED_VALUE"""),"Pine")</f>
        <v>Pine</v>
      </c>
      <c r="C323" s="45" t="str">
        <f>IFERROR(__xludf.DUMMYFUNCTION("""COMPUTED_VALUE"""),"(973) 202-1804")</f>
        <v>(973) 202-1804</v>
      </c>
      <c r="D323" s="45" t="str">
        <f>IFERROR(__xludf.DUMMYFUNCTION("""COMPUTED_VALUE"""),"jaredpine09@gmail.com")</f>
        <v>jaredpine09@gmail.com</v>
      </c>
      <c r="E323" s="41">
        <f>IFERROR(__xludf.DUMMYFUNCTION("""COMPUTED_VALUE"""),2025.0)</f>
        <v>2025</v>
      </c>
      <c r="F323" s="41" t="str">
        <f>IFERROR(__xludf.DUMMYFUNCTION("""COMPUTED_VALUE"""),"Sigma")</f>
        <v>Sigma</v>
      </c>
      <c r="G323" s="41" t="str">
        <f>IFERROR(__xludf.DUMMYFUNCTION("""COMPUTED_VALUE"""),"Parsippany, NJ")</f>
        <v>Parsippany, NJ</v>
      </c>
      <c r="H323" s="45" t="str">
        <f>IFERROR(__xludf.DUMMYFUNCTION("""COMPUTED_VALUE"""),"Avis Budget Group")</f>
        <v>Avis Budget Group</v>
      </c>
      <c r="I323" s="45" t="str">
        <f>IFERROR(__xludf.DUMMYFUNCTION("""COMPUTED_VALUE"""),"Commercial Rotational Analyst")</f>
        <v>Commercial Rotational Analyst</v>
      </c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1" t="str">
        <f>IFERROR(__xludf.DUMMYFUNCTION("""COMPUTED_VALUE"""),"Aya")</f>
        <v>Aya</v>
      </c>
      <c r="B324" s="41" t="str">
        <f>IFERROR(__xludf.DUMMYFUNCTION("""COMPUTED_VALUE"""),"Dushnitzky")</f>
        <v>Dushnitzky</v>
      </c>
      <c r="C324" s="45" t="str">
        <f>IFERROR(__xludf.DUMMYFUNCTION("""COMPUTED_VALUE"""),"(614) 598-0656")</f>
        <v>(614) 598-0656</v>
      </c>
      <c r="D324" s="45" t="str">
        <f>IFERROR(__xludf.DUMMYFUNCTION("""COMPUTED_VALUE"""),"Dushnitzky@gmail.com")</f>
        <v>Dushnitzky@gmail.com</v>
      </c>
      <c r="E324" s="41">
        <f>IFERROR(__xludf.DUMMYFUNCTION("""COMPUTED_VALUE"""),2025.0)</f>
        <v>2025</v>
      </c>
      <c r="F324" s="41" t="str">
        <f>IFERROR(__xludf.DUMMYFUNCTION("""COMPUTED_VALUE"""),"Sigma")</f>
        <v>Sigma</v>
      </c>
      <c r="G324" s="41" t="str">
        <f>IFERROR(__xludf.DUMMYFUNCTION("""COMPUTED_VALUE"""),"Dallas")</f>
        <v>Dallas</v>
      </c>
      <c r="H324" s="45" t="str">
        <f>IFERROR(__xludf.DUMMYFUNCTION("""COMPUTED_VALUE"""),"American Airlines")</f>
        <v>American Airlines</v>
      </c>
      <c r="I324" s="45" t="str">
        <f>IFERROR(__xludf.DUMMYFUNCTION("""COMPUTED_VALUE"""),"Revenue Management Analyst")</f>
        <v>Revenue Management Analyst</v>
      </c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1" t="str">
        <f>IFERROR(__xludf.DUMMYFUNCTION("""COMPUTED_VALUE"""),"Abby")</f>
        <v>Abby</v>
      </c>
      <c r="B325" s="41" t="str">
        <f>IFERROR(__xludf.DUMMYFUNCTION("""COMPUTED_VALUE"""),"Tosatti")</f>
        <v>Tosatti</v>
      </c>
      <c r="C325" s="45" t="str">
        <f>IFERROR(__xludf.DUMMYFUNCTION("""COMPUTED_VALUE"""),"(603) 793-2098")</f>
        <v>(603) 793-2098</v>
      </c>
      <c r="D325" s="45" t="str">
        <f>IFERROR(__xludf.DUMMYFUNCTION("""COMPUTED_VALUE"""),"atosatti3@gmail.com")</f>
        <v>atosatti3@gmail.com</v>
      </c>
      <c r="E325" s="41">
        <f>IFERROR(__xludf.DUMMYFUNCTION("""COMPUTED_VALUE"""),2025.0)</f>
        <v>2025</v>
      </c>
      <c r="F325" s="41" t="str">
        <f>IFERROR(__xludf.DUMMYFUNCTION("""COMPUTED_VALUE"""),"Rho")</f>
        <v>Rho</v>
      </c>
      <c r="G325" s="41" t="str">
        <f>IFERROR(__xludf.DUMMYFUNCTION("""COMPUTED_VALUE"""),"Columbus")</f>
        <v>Columbus</v>
      </c>
      <c r="H325" s="45" t="str">
        <f>IFERROR(__xludf.DUMMYFUNCTION("""COMPUTED_VALUE"""),"Arrive Logistics")</f>
        <v>Arrive Logistics</v>
      </c>
      <c r="I325" s="45" t="str">
        <f>IFERROR(__xludf.DUMMYFUNCTION("""COMPUTED_VALUE"""),"Business Development Representative")</f>
        <v>Business Development Representative</v>
      </c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1" t="str">
        <f>IFERROR(__xludf.DUMMYFUNCTION("""COMPUTED_VALUE"""),"Chloe")</f>
        <v>Chloe</v>
      </c>
      <c r="B326" s="41" t="str">
        <f>IFERROR(__xludf.DUMMYFUNCTION("""COMPUTED_VALUE"""),"Parker")</f>
        <v>Parker</v>
      </c>
      <c r="C326" s="45" t="str">
        <f>IFERROR(__xludf.DUMMYFUNCTION("""COMPUTED_VALUE"""),"(419) 263-8595")</f>
        <v>(419) 263-8595</v>
      </c>
      <c r="D326" s="45" t="str">
        <f>IFERROR(__xludf.DUMMYFUNCTION("""COMPUTED_VALUE"""),"chloe.rosep.03@gmail.com")</f>
        <v>chloe.rosep.03@gmail.com</v>
      </c>
      <c r="E326" s="41">
        <f>IFERROR(__xludf.DUMMYFUNCTION("""COMPUTED_VALUE"""),2025.0)</f>
        <v>2025</v>
      </c>
      <c r="F326" s="41" t="str">
        <f>IFERROR(__xludf.DUMMYFUNCTION("""COMPUTED_VALUE"""),"Tau")</f>
        <v>Tau</v>
      </c>
      <c r="G326" s="41" t="str">
        <f>IFERROR(__xludf.DUMMYFUNCTION("""COMPUTED_VALUE"""),"Fort Wayne")</f>
        <v>Fort Wayne</v>
      </c>
      <c r="H326" s="45" t="str">
        <f>IFERROR(__xludf.DUMMYFUNCTION("""COMPUTED_VALUE"""),"Premier Truck Rental")</f>
        <v>Premier Truck Rental</v>
      </c>
      <c r="I326" s="45" t="str">
        <f>IFERROR(__xludf.DUMMYFUNCTION("""COMPUTED_VALUE"""),"Marketing Coordinator")</f>
        <v>Marketing Coordinator</v>
      </c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1" t="str">
        <f>IFERROR(__xludf.DUMMYFUNCTION("""COMPUTED_VALUE"""),"Christina")</f>
        <v>Christina</v>
      </c>
      <c r="B327" s="41" t="str">
        <f>IFERROR(__xludf.DUMMYFUNCTION("""COMPUTED_VALUE"""),"Giunco")</f>
        <v>Giunco</v>
      </c>
      <c r="C327" s="45" t="str">
        <f>IFERROR(__xludf.DUMMYFUNCTION("""COMPUTED_VALUE"""),"(732) 759-4343")</f>
        <v>(732) 759-4343</v>
      </c>
      <c r="D327" s="45"/>
      <c r="E327" s="41">
        <f>IFERROR(__xludf.DUMMYFUNCTION("""COMPUTED_VALUE"""),2025.0)</f>
        <v>2025</v>
      </c>
      <c r="F327" s="41" t="str">
        <f>IFERROR(__xludf.DUMMYFUNCTION("""COMPUTED_VALUE"""),"Tau")</f>
        <v>Tau</v>
      </c>
      <c r="G327" s="41" t="str">
        <f>IFERROR(__xludf.DUMMYFUNCTION("""COMPUTED_VALUE"""),"New York")</f>
        <v>New York</v>
      </c>
      <c r="H327" s="45" t="str">
        <f>IFERROR(__xludf.DUMMYFUNCTION("""COMPUTED_VALUE"""),"Crowe")</f>
        <v>Crowe</v>
      </c>
      <c r="I327" s="45" t="str">
        <f>IFERROR(__xludf.DUMMYFUNCTION("""COMPUTED_VALUE"""),"Financials Services Consultant")</f>
        <v>Financials Services Consultant</v>
      </c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1" t="str">
        <f>IFERROR(__xludf.DUMMYFUNCTION("""COMPUTED_VALUE"""),"Nigel")</f>
        <v>Nigel</v>
      </c>
      <c r="B328" s="41" t="str">
        <f>IFERROR(__xludf.DUMMYFUNCTION("""COMPUTED_VALUE"""),"Gore")</f>
        <v>Gore</v>
      </c>
      <c r="C328" s="45" t="str">
        <f>IFERROR(__xludf.DUMMYFUNCTION("""COMPUTED_VALUE"""),"(216) 246-2829")</f>
        <v>(216) 246-2829</v>
      </c>
      <c r="D328" s="45"/>
      <c r="E328" s="41">
        <f>IFERROR(__xludf.DUMMYFUNCTION("""COMPUTED_VALUE"""),2025.0)</f>
        <v>2025</v>
      </c>
      <c r="F328" s="41" t="str">
        <f>IFERROR(__xludf.DUMMYFUNCTION("""COMPUTED_VALUE"""),"Upsilon")</f>
        <v>Upsilon</v>
      </c>
      <c r="G328" s="41" t="str">
        <f>IFERROR(__xludf.DUMMYFUNCTION("""COMPUTED_VALUE"""),"New York")</f>
        <v>New York</v>
      </c>
      <c r="H328" s="45" t="str">
        <f>IFERROR(__xludf.DUMMYFUNCTION("""COMPUTED_VALUE"""),"Goldman Sachs")</f>
        <v>Goldman Sachs</v>
      </c>
      <c r="I328" s="45" t="str">
        <f>IFERROR(__xludf.DUMMYFUNCTION("""COMPUTED_VALUE"""),"Investment Banking Compliance Analyst")</f>
        <v>Investment Banking Compliance Analyst</v>
      </c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1" t="str">
        <f>IFERROR(__xludf.DUMMYFUNCTION("""COMPUTED_VALUE"""),"Anushka")</f>
        <v>Anushka</v>
      </c>
      <c r="B329" s="41" t="str">
        <f>IFERROR(__xludf.DUMMYFUNCTION("""COMPUTED_VALUE"""),"Nath")</f>
        <v>Nath</v>
      </c>
      <c r="C329" s="45" t="str">
        <f>IFERROR(__xludf.DUMMYFUNCTION("""COMPUTED_VALUE"""),"(614) 483-3211")</f>
        <v>(614) 483-3211</v>
      </c>
      <c r="D329" s="45"/>
      <c r="E329" s="41">
        <f>IFERROR(__xludf.DUMMYFUNCTION("""COMPUTED_VALUE"""),2025.0)</f>
        <v>2025</v>
      </c>
      <c r="F329" s="41" t="str">
        <f>IFERROR(__xludf.DUMMYFUNCTION("""COMPUTED_VALUE"""),"Rho")</f>
        <v>Rho</v>
      </c>
      <c r="G329" s="41" t="str">
        <f>IFERROR(__xludf.DUMMYFUNCTION("""COMPUTED_VALUE"""),"Chicago")</f>
        <v>Chicago</v>
      </c>
      <c r="H329" s="45" t="str">
        <f>IFERROR(__xludf.DUMMYFUNCTION("""COMPUTED_VALUE"""),"Capital One")</f>
        <v>Capital One</v>
      </c>
      <c r="I329" s="45" t="str">
        <f>IFERROR(__xludf.DUMMYFUNCTION("""COMPUTED_VALUE"""),"Business Analyst")</f>
        <v>Business Analyst</v>
      </c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1" t="str">
        <f>IFERROR(__xludf.DUMMYFUNCTION("""COMPUTED_VALUE"""),"Kat")</f>
        <v>Kat</v>
      </c>
      <c r="B330" s="41" t="str">
        <f>IFERROR(__xludf.DUMMYFUNCTION("""COMPUTED_VALUE"""),"Hagar")</f>
        <v>Hagar</v>
      </c>
      <c r="C330" s="45" t="str">
        <f>IFERROR(__xludf.DUMMYFUNCTION("""COMPUTED_VALUE"""),"(719) 453-9773")</f>
        <v>(719) 453-9773</v>
      </c>
      <c r="D330" s="45" t="str">
        <f>IFERROR(__xludf.DUMMYFUNCTION("""COMPUTED_VALUE"""),"kphagar2003@gmail.com")</f>
        <v>kphagar2003@gmail.com</v>
      </c>
      <c r="E330" s="41">
        <f>IFERROR(__xludf.DUMMYFUNCTION("""COMPUTED_VALUE"""),2025.0)</f>
        <v>2025</v>
      </c>
      <c r="F330" s="41" t="str">
        <f>IFERROR(__xludf.DUMMYFUNCTION("""COMPUTED_VALUE"""),"Rho")</f>
        <v>Rho</v>
      </c>
      <c r="G330" s="41" t="str">
        <f>IFERROR(__xludf.DUMMYFUNCTION("""COMPUTED_VALUE"""),"Columbus")</f>
        <v>Columbus</v>
      </c>
      <c r="H330" s="45" t="str">
        <f>IFERROR(__xludf.DUMMYFUNCTION("""COMPUTED_VALUE"""),"Franklin County Prosecutor's Office")</f>
        <v>Franklin County Prosecutor's Office</v>
      </c>
      <c r="I330" s="45" t="str">
        <f>IFERROR(__xludf.DUMMYFUNCTION("""COMPUTED_VALUE"""),"Legal Secretary")</f>
        <v>Legal Secretary</v>
      </c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1" t="str">
        <f>IFERROR(__xludf.DUMMYFUNCTION("""COMPUTED_VALUE"""),"Ameedah")</f>
        <v>Ameedah</v>
      </c>
      <c r="B331" s="41" t="str">
        <f>IFERROR(__xludf.DUMMYFUNCTION("""COMPUTED_VALUE"""),"Jenmi")</f>
        <v>Jenmi</v>
      </c>
      <c r="C331" s="45" t="str">
        <f>IFERROR(__xludf.DUMMYFUNCTION("""COMPUTED_VALUE"""),"(469) 432-4829")</f>
        <v>(469) 432-4829</v>
      </c>
      <c r="D331" s="45"/>
      <c r="E331" s="41">
        <f>IFERROR(__xludf.DUMMYFUNCTION("""COMPUTED_VALUE"""),2025.0)</f>
        <v>2025</v>
      </c>
      <c r="F331" s="41" t="str">
        <f>IFERROR(__xludf.DUMMYFUNCTION("""COMPUTED_VALUE"""),"Upsilon")</f>
        <v>Upsilon</v>
      </c>
      <c r="G331" s="41" t="str">
        <f>IFERROR(__xludf.DUMMYFUNCTION("""COMPUTED_VALUE"""),"Seattle")</f>
        <v>Seattle</v>
      </c>
      <c r="H331" s="45" t="str">
        <f>IFERROR(__xludf.DUMMYFUNCTION("""COMPUTED_VALUE"""),"Amazon")</f>
        <v>Amazon</v>
      </c>
      <c r="I331" s="45" t="str">
        <f>IFERROR(__xludf.DUMMYFUNCTION("""COMPUTED_VALUE"""),"Customer Success Strategy")</f>
        <v>Customer Success Strategy</v>
      </c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1" t="str">
        <f>IFERROR(__xludf.DUMMYFUNCTION("""COMPUTED_VALUE"""),"Brian")</f>
        <v>Brian</v>
      </c>
      <c r="B332" s="41" t="str">
        <f>IFERROR(__xludf.DUMMYFUNCTION("""COMPUTED_VALUE"""),"Lum")</f>
        <v>Lum</v>
      </c>
      <c r="C332" s="45" t="str">
        <f>IFERROR(__xludf.DUMMYFUNCTION("""COMPUTED_VALUE"""),"(419) 367-6683")</f>
        <v>(419) 367-6683</v>
      </c>
      <c r="D332" s="45" t="str">
        <f>IFERROR(__xludf.DUMMYFUNCTION("""COMPUTED_VALUE"""),"brianlumbusiness@gmail.com")</f>
        <v>brianlumbusiness@gmail.com</v>
      </c>
      <c r="E332" s="41">
        <f>IFERROR(__xludf.DUMMYFUNCTION("""COMPUTED_VALUE"""),2025.0)</f>
        <v>2025</v>
      </c>
      <c r="F332" s="41" t="str">
        <f>IFERROR(__xludf.DUMMYFUNCTION("""COMPUTED_VALUE"""),"Sigma")</f>
        <v>Sigma</v>
      </c>
      <c r="G332" s="41" t="str">
        <f>IFERROR(__xludf.DUMMYFUNCTION("""COMPUTED_VALUE"""),"Seattle")</f>
        <v>Seattle</v>
      </c>
      <c r="H332" s="45" t="str">
        <f>IFERROR(__xludf.DUMMYFUNCTION("""COMPUTED_VALUE"""),"Microsoft")</f>
        <v>Microsoft</v>
      </c>
      <c r="I332" s="45" t="str">
        <f>IFERROR(__xludf.DUMMYFUNCTION("""COMPUTED_VALUE"""),"Program Manager, Global Cloud Business Operations")</f>
        <v>Program Manager, Global Cloud Business Operations</v>
      </c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1" t="str">
        <f>IFERROR(__xludf.DUMMYFUNCTION("""COMPUTED_VALUE"""),"Mroh Chai")</f>
        <v>Mroh Chai</v>
      </c>
      <c r="B333" s="41" t="str">
        <f>IFERROR(__xludf.DUMMYFUNCTION("""COMPUTED_VALUE"""),"Jompar")</f>
        <v>Jompar</v>
      </c>
      <c r="C333" s="45" t="str">
        <f>IFERROR(__xludf.DUMMYFUNCTION("""COMPUTED_VALUE"""),"(614) 285-0887")</f>
        <v>(614) 285-0887</v>
      </c>
      <c r="D333" s="45"/>
      <c r="E333" s="41">
        <f>IFERROR(__xludf.DUMMYFUNCTION("""COMPUTED_VALUE"""),2025.0)</f>
        <v>2025</v>
      </c>
      <c r="F333" s="41" t="str">
        <f>IFERROR(__xludf.DUMMYFUNCTION("""COMPUTED_VALUE"""),"Upsilon")</f>
        <v>Upsilon</v>
      </c>
      <c r="G333" s="41" t="str">
        <f>IFERROR(__xludf.DUMMYFUNCTION("""COMPUTED_VALUE"""),"Columbus")</f>
        <v>Columbus</v>
      </c>
      <c r="H333" s="45" t="str">
        <f>IFERROR(__xludf.DUMMYFUNCTION("""COMPUTED_VALUE"""),"N/A")</f>
        <v>N/A</v>
      </c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1" t="str">
        <f>IFERROR(__xludf.DUMMYFUNCTION("""COMPUTED_VALUE"""),"Tasnim")</f>
        <v>Tasnim</v>
      </c>
      <c r="B334" s="41" t="str">
        <f>IFERROR(__xludf.DUMMYFUNCTION("""COMPUTED_VALUE"""),"Ali")</f>
        <v>Ali</v>
      </c>
      <c r="C334" s="45" t="str">
        <f>IFERROR(__xludf.DUMMYFUNCTION("""COMPUTED_VALUE"""),"(614) 772-5871")</f>
        <v>(614) 772-5871</v>
      </c>
      <c r="D334" s="45"/>
      <c r="E334" s="41">
        <f>IFERROR(__xludf.DUMMYFUNCTION("""COMPUTED_VALUE"""),2025.0)</f>
        <v>2025</v>
      </c>
      <c r="F334" s="41" t="str">
        <f>IFERROR(__xludf.DUMMYFUNCTION("""COMPUTED_VALUE"""),"Upsilon")</f>
        <v>Upsilon</v>
      </c>
      <c r="G334" s="41" t="str">
        <f>IFERROR(__xludf.DUMMYFUNCTION("""COMPUTED_VALUE"""),"Cincinnati")</f>
        <v>Cincinnati</v>
      </c>
      <c r="H334" s="45" t="str">
        <f>IFERROR(__xludf.DUMMYFUNCTION("""COMPUTED_VALUE"""),"N/A")</f>
        <v>N/A</v>
      </c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1" t="str">
        <f>IFERROR(__xludf.DUMMYFUNCTION("""COMPUTED_VALUE"""),"Rithvik")</f>
        <v>Rithvik</v>
      </c>
      <c r="B335" s="41" t="str">
        <f>IFERROR(__xludf.DUMMYFUNCTION("""COMPUTED_VALUE"""),"Kilaparthi")</f>
        <v>Kilaparthi</v>
      </c>
      <c r="C335" s="45"/>
      <c r="D335" s="45"/>
      <c r="E335" s="41">
        <f>IFERROR(__xludf.DUMMYFUNCTION("""COMPUTED_VALUE"""),2025.0)</f>
        <v>2025</v>
      </c>
      <c r="F335" s="41" t="str">
        <f>IFERROR(__xludf.DUMMYFUNCTION("""COMPUTED_VALUE"""),"Tau")</f>
        <v>Tau</v>
      </c>
      <c r="G335" s="41" t="str">
        <f>IFERROR(__xludf.DUMMYFUNCTION("""COMPUTED_VALUE"""),"Cincinnati")</f>
        <v>Cincinnati</v>
      </c>
      <c r="H335" s="45" t="str">
        <f>IFERROR(__xludf.DUMMYFUNCTION("""COMPUTED_VALUE"""),"Siemens")</f>
        <v>Siemens</v>
      </c>
      <c r="I335" s="45" t="str">
        <f>IFERROR(__xludf.DUMMYFUNCTION("""COMPUTED_VALUE"""),"Software Engineer")</f>
        <v>Software Engineer</v>
      </c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1" t="str">
        <f>IFERROR(__xludf.DUMMYFUNCTION("""COMPUTED_VALUE"""),"Sarah")</f>
        <v>Sarah</v>
      </c>
      <c r="B336" s="41" t="str">
        <f>IFERROR(__xludf.DUMMYFUNCTION("""COMPUTED_VALUE"""),"Halstead")</f>
        <v>Halstead</v>
      </c>
      <c r="C336" s="45"/>
      <c r="D336" s="45"/>
      <c r="E336" s="41">
        <f>IFERROR(__xludf.DUMMYFUNCTION("""COMPUTED_VALUE"""),2025.0)</f>
        <v>2025</v>
      </c>
      <c r="F336" s="41" t="str">
        <f>IFERROR(__xludf.DUMMYFUNCTION("""COMPUTED_VALUE"""),"Tau")</f>
        <v>Tau</v>
      </c>
      <c r="G336" s="41" t="str">
        <f>IFERROR(__xludf.DUMMYFUNCTION("""COMPUTED_VALUE"""),"California")</f>
        <v>California</v>
      </c>
      <c r="H336" s="45" t="str">
        <f>IFERROR(__xludf.DUMMYFUNCTION("""COMPUTED_VALUE"""),"N/A")</f>
        <v>N/A</v>
      </c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1" t="str">
        <f>IFERROR(__xludf.DUMMYFUNCTION("""COMPUTED_VALUE"""),"Celine")</f>
        <v>Celine</v>
      </c>
      <c r="B337" s="41" t="str">
        <f>IFERROR(__xludf.DUMMYFUNCTION("""COMPUTED_VALUE"""),"Scaria")</f>
        <v>Scaria</v>
      </c>
      <c r="C337" s="45"/>
      <c r="D337" s="45" t="str">
        <f>IFERROR(__xludf.DUMMYFUNCTION("""COMPUTED_VALUE"""),"Scaria.4@osu.edu")</f>
        <v>Scaria.4@osu.edu</v>
      </c>
      <c r="E337" s="41">
        <f>IFERROR(__xludf.DUMMYFUNCTION("""COMPUTED_VALUE"""),2025.0)</f>
        <v>2025</v>
      </c>
      <c r="F337" s="41" t="str">
        <f>IFERROR(__xludf.DUMMYFUNCTION("""COMPUTED_VALUE"""),"Sigma")</f>
        <v>Sigma</v>
      </c>
      <c r="G337" s="41" t="str">
        <f>IFERROR(__xludf.DUMMYFUNCTION("""COMPUTED_VALUE"""),"Cleveland")</f>
        <v>Cleveland</v>
      </c>
      <c r="H337" s="45" t="str">
        <f>IFERROR(__xludf.DUMMYFUNCTION("""COMPUTED_VALUE"""),"KeyBanc Capital Markets")</f>
        <v>KeyBanc Capital Markets</v>
      </c>
      <c r="I337" s="45" t="str">
        <f>IFERROR(__xludf.DUMMYFUNCTION("""COMPUTED_VALUE"""),"Equity Research Summer Analyst")</f>
        <v>Equity Research Summer Analyst</v>
      </c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1"/>
      <c r="B338" s="41"/>
      <c r="C338" s="45"/>
      <c r="D338" s="45"/>
      <c r="E338" s="41"/>
      <c r="F338" s="41"/>
      <c r="G338" s="41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1"/>
      <c r="B339" s="41"/>
      <c r="C339" s="45"/>
      <c r="D339" s="45"/>
      <c r="E339" s="41"/>
      <c r="F339" s="41"/>
      <c r="G339" s="41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1"/>
      <c r="B340" s="41"/>
      <c r="C340" s="45"/>
      <c r="D340" s="45"/>
      <c r="E340" s="41"/>
      <c r="F340" s="41"/>
      <c r="G340" s="41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1"/>
      <c r="B341" s="41"/>
      <c r="C341" s="45"/>
      <c r="D341" s="45"/>
      <c r="E341" s="41"/>
      <c r="F341" s="41"/>
      <c r="G341" s="41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1"/>
      <c r="B342" s="41"/>
      <c r="C342" s="45"/>
      <c r="D342" s="45"/>
      <c r="E342" s="41"/>
      <c r="F342" s="41"/>
      <c r="G342" s="41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1"/>
      <c r="B343" s="41"/>
      <c r="C343" s="45"/>
      <c r="D343" s="45"/>
      <c r="E343" s="41"/>
      <c r="F343" s="41"/>
      <c r="G343" s="41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1"/>
      <c r="B344" s="41"/>
      <c r="C344" s="45"/>
      <c r="D344" s="45"/>
      <c r="E344" s="41"/>
      <c r="F344" s="41"/>
      <c r="G344" s="41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1"/>
      <c r="B345" s="41"/>
      <c r="C345" s="45"/>
      <c r="D345" s="45"/>
      <c r="E345" s="41"/>
      <c r="F345" s="41"/>
      <c r="G345" s="41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1"/>
      <c r="B346" s="41"/>
      <c r="C346" s="45"/>
      <c r="D346" s="45"/>
      <c r="E346" s="41"/>
      <c r="F346" s="41"/>
      <c r="G346" s="41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1"/>
      <c r="B347" s="41"/>
      <c r="C347" s="45"/>
      <c r="D347" s="45"/>
      <c r="E347" s="41"/>
      <c r="F347" s="41"/>
      <c r="G347" s="41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1"/>
      <c r="B348" s="41"/>
      <c r="C348" s="45"/>
      <c r="D348" s="45"/>
      <c r="E348" s="41"/>
      <c r="F348" s="41"/>
      <c r="G348" s="41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1"/>
      <c r="B349" s="41"/>
      <c r="C349" s="45"/>
      <c r="D349" s="45"/>
      <c r="E349" s="41"/>
      <c r="F349" s="41"/>
      <c r="G349" s="41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1"/>
      <c r="B350" s="41"/>
      <c r="C350" s="45"/>
      <c r="D350" s="45"/>
      <c r="E350" s="41"/>
      <c r="F350" s="41"/>
      <c r="G350" s="41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23"/>
      <c r="B351" s="41"/>
      <c r="C351" s="45"/>
      <c r="D351" s="45"/>
      <c r="E351" s="41"/>
      <c r="F351" s="41"/>
      <c r="G351" s="41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23"/>
      <c r="B352" s="41"/>
      <c r="C352" s="45"/>
      <c r="D352" s="45"/>
      <c r="E352" s="41"/>
      <c r="F352" s="41"/>
      <c r="G352" s="41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23"/>
      <c r="B353" s="41"/>
      <c r="C353" s="45"/>
      <c r="D353" s="45"/>
      <c r="E353" s="41"/>
      <c r="F353" s="41"/>
      <c r="G353" s="41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23"/>
      <c r="B354" s="41"/>
      <c r="C354" s="45"/>
      <c r="D354" s="45"/>
      <c r="E354" s="41"/>
      <c r="F354" s="41"/>
      <c r="G354" s="41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23"/>
      <c r="B355" s="41"/>
      <c r="C355" s="45"/>
      <c r="D355" s="45"/>
      <c r="E355" s="41"/>
      <c r="F355" s="41"/>
      <c r="G355" s="41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23"/>
      <c r="B356" s="41"/>
      <c r="C356" s="45"/>
      <c r="D356" s="45"/>
      <c r="E356" s="41"/>
      <c r="F356" s="41"/>
      <c r="G356" s="41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23"/>
      <c r="B357" s="41"/>
      <c r="C357" s="45"/>
      <c r="D357" s="45"/>
      <c r="E357" s="41"/>
      <c r="F357" s="41"/>
      <c r="G357" s="41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23"/>
      <c r="B358" s="41"/>
      <c r="C358" s="45"/>
      <c r="D358" s="45"/>
      <c r="E358" s="41"/>
      <c r="F358" s="41"/>
      <c r="G358" s="41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23"/>
      <c r="B359" s="41"/>
      <c r="C359" s="45"/>
      <c r="D359" s="45"/>
      <c r="E359" s="41"/>
      <c r="F359" s="41"/>
      <c r="G359" s="41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23"/>
      <c r="B360" s="41"/>
      <c r="C360" s="45"/>
      <c r="D360" s="45"/>
      <c r="E360" s="41"/>
      <c r="F360" s="41"/>
      <c r="G360" s="41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23"/>
      <c r="B361" s="41"/>
      <c r="C361" s="45"/>
      <c r="D361" s="45"/>
      <c r="E361" s="41"/>
      <c r="F361" s="41"/>
      <c r="G361" s="41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23"/>
      <c r="B362" s="41"/>
      <c r="C362" s="45"/>
      <c r="D362" s="45"/>
      <c r="E362" s="41"/>
      <c r="F362" s="41"/>
      <c r="G362" s="41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23"/>
      <c r="B363" s="41"/>
      <c r="C363" s="45"/>
      <c r="D363" s="45"/>
      <c r="E363" s="41"/>
      <c r="F363" s="41"/>
      <c r="G363" s="41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23"/>
      <c r="B364" s="41"/>
      <c r="C364" s="45"/>
      <c r="D364" s="45"/>
      <c r="E364" s="41"/>
      <c r="F364" s="41"/>
      <c r="G364" s="41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23"/>
      <c r="B365" s="41"/>
      <c r="C365" s="45"/>
      <c r="D365" s="45"/>
      <c r="E365" s="41"/>
      <c r="F365" s="41"/>
      <c r="G365" s="41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23"/>
      <c r="B366" s="41"/>
      <c r="C366" s="45"/>
      <c r="D366" s="45"/>
      <c r="E366" s="41"/>
      <c r="F366" s="41"/>
      <c r="G366" s="41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23"/>
      <c r="B367" s="41"/>
      <c r="C367" s="45"/>
      <c r="D367" s="45"/>
      <c r="E367" s="41"/>
      <c r="F367" s="41"/>
      <c r="G367" s="41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23"/>
      <c r="B368" s="41"/>
      <c r="C368" s="45"/>
      <c r="D368" s="45"/>
      <c r="E368" s="41"/>
      <c r="F368" s="41"/>
      <c r="G368" s="41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23"/>
      <c r="B369" s="41"/>
      <c r="C369" s="45"/>
      <c r="D369" s="45"/>
      <c r="E369" s="41"/>
      <c r="F369" s="41"/>
      <c r="G369" s="41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23"/>
      <c r="B370" s="41"/>
      <c r="C370" s="45"/>
      <c r="D370" s="45"/>
      <c r="E370" s="41"/>
      <c r="F370" s="41"/>
      <c r="G370" s="41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23"/>
      <c r="B371" s="41"/>
      <c r="C371" s="45"/>
      <c r="D371" s="45"/>
      <c r="E371" s="41"/>
      <c r="F371" s="41"/>
      <c r="G371" s="41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23"/>
      <c r="B372" s="41"/>
      <c r="C372" s="45"/>
      <c r="D372" s="45"/>
      <c r="E372" s="41"/>
      <c r="F372" s="41"/>
      <c r="G372" s="41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23"/>
      <c r="B373" s="41"/>
      <c r="C373" s="45"/>
      <c r="D373" s="45"/>
      <c r="E373" s="41"/>
      <c r="F373" s="41"/>
      <c r="G373" s="41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23"/>
      <c r="B374" s="41"/>
      <c r="C374" s="45"/>
      <c r="D374" s="45"/>
      <c r="E374" s="41"/>
      <c r="F374" s="41"/>
      <c r="G374" s="41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23"/>
      <c r="B375" s="41"/>
      <c r="C375" s="45"/>
      <c r="D375" s="45"/>
      <c r="E375" s="41"/>
      <c r="F375" s="41"/>
      <c r="G375" s="41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23"/>
      <c r="B376" s="41"/>
      <c r="C376" s="45"/>
      <c r="D376" s="45"/>
      <c r="E376" s="41"/>
      <c r="F376" s="41"/>
      <c r="G376" s="41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23"/>
      <c r="B377" s="41"/>
      <c r="C377" s="45"/>
      <c r="D377" s="45"/>
      <c r="E377" s="41"/>
      <c r="F377" s="41"/>
      <c r="G377" s="41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23"/>
      <c r="B378" s="41"/>
      <c r="C378" s="45"/>
      <c r="D378" s="45"/>
      <c r="E378" s="41"/>
      <c r="F378" s="41"/>
      <c r="G378" s="41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23"/>
      <c r="B379" s="41"/>
      <c r="C379" s="45"/>
      <c r="D379" s="45"/>
      <c r="E379" s="41"/>
      <c r="F379" s="41"/>
      <c r="G379" s="41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23"/>
      <c r="B380" s="41"/>
      <c r="C380" s="45"/>
      <c r="D380" s="45"/>
      <c r="E380" s="41"/>
      <c r="F380" s="41"/>
      <c r="G380" s="41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23"/>
      <c r="B381" s="41"/>
      <c r="C381" s="45"/>
      <c r="D381" s="45"/>
      <c r="E381" s="41"/>
      <c r="F381" s="41"/>
      <c r="G381" s="41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23"/>
      <c r="B382" s="41"/>
      <c r="C382" s="45"/>
      <c r="D382" s="45"/>
      <c r="E382" s="41"/>
      <c r="F382" s="41"/>
      <c r="G382" s="41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23"/>
      <c r="B383" s="41"/>
      <c r="C383" s="45"/>
      <c r="D383" s="45"/>
      <c r="E383" s="41"/>
      <c r="F383" s="41"/>
      <c r="G383" s="41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23"/>
      <c r="B384" s="41"/>
      <c r="C384" s="45"/>
      <c r="D384" s="45"/>
      <c r="E384" s="41"/>
      <c r="F384" s="41"/>
      <c r="G384" s="41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23"/>
      <c r="B385" s="41"/>
      <c r="C385" s="45"/>
      <c r="D385" s="45"/>
      <c r="E385" s="41"/>
      <c r="F385" s="41"/>
      <c r="G385" s="41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23"/>
      <c r="B386" s="41"/>
      <c r="C386" s="45"/>
      <c r="D386" s="45"/>
      <c r="E386" s="41"/>
      <c r="F386" s="41"/>
      <c r="G386" s="41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23"/>
      <c r="B387" s="41"/>
      <c r="C387" s="45"/>
      <c r="D387" s="45"/>
      <c r="E387" s="41"/>
      <c r="F387" s="41"/>
      <c r="G387" s="41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23"/>
      <c r="B388" s="41"/>
      <c r="C388" s="45"/>
      <c r="D388" s="45"/>
      <c r="E388" s="41"/>
      <c r="F388" s="41"/>
      <c r="G388" s="41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23"/>
      <c r="B389" s="41"/>
      <c r="C389" s="45"/>
      <c r="D389" s="45"/>
      <c r="E389" s="41"/>
      <c r="F389" s="41"/>
      <c r="G389" s="41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23"/>
      <c r="B390" s="41"/>
      <c r="C390" s="45"/>
      <c r="D390" s="45"/>
      <c r="E390" s="41"/>
      <c r="F390" s="41"/>
      <c r="G390" s="41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23"/>
      <c r="B391" s="41"/>
      <c r="C391" s="45"/>
      <c r="D391" s="45"/>
      <c r="E391" s="41"/>
      <c r="F391" s="41"/>
      <c r="G391" s="41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23"/>
      <c r="B392" s="41"/>
      <c r="C392" s="45"/>
      <c r="D392" s="45"/>
      <c r="E392" s="41"/>
      <c r="F392" s="41"/>
      <c r="G392" s="41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23"/>
      <c r="B393" s="41"/>
      <c r="C393" s="45"/>
      <c r="D393" s="45"/>
      <c r="E393" s="41"/>
      <c r="F393" s="41"/>
      <c r="G393" s="41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23"/>
      <c r="B394" s="41"/>
      <c r="C394" s="45"/>
      <c r="D394" s="45"/>
      <c r="E394" s="41"/>
      <c r="F394" s="41"/>
      <c r="G394" s="41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23"/>
      <c r="B395" s="41"/>
      <c r="C395" s="45"/>
      <c r="D395" s="45"/>
      <c r="E395" s="41"/>
      <c r="F395" s="41"/>
      <c r="G395" s="41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23"/>
      <c r="B396" s="41"/>
      <c r="C396" s="45"/>
      <c r="D396" s="45"/>
      <c r="E396" s="41"/>
      <c r="F396" s="41"/>
      <c r="G396" s="41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23"/>
      <c r="B397" s="41"/>
      <c r="C397" s="45"/>
      <c r="D397" s="45"/>
      <c r="E397" s="41"/>
      <c r="F397" s="41"/>
      <c r="G397" s="41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23"/>
      <c r="B398" s="41"/>
      <c r="C398" s="45"/>
      <c r="D398" s="45"/>
      <c r="E398" s="41"/>
      <c r="F398" s="41"/>
      <c r="G398" s="41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23"/>
      <c r="B399" s="41"/>
      <c r="C399" s="45"/>
      <c r="D399" s="45"/>
      <c r="E399" s="41"/>
      <c r="F399" s="41"/>
      <c r="G399" s="41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23"/>
      <c r="B400" s="41"/>
      <c r="C400" s="45"/>
      <c r="D400" s="45"/>
      <c r="E400" s="41"/>
      <c r="F400" s="41"/>
      <c r="G400" s="41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23"/>
      <c r="B401" s="41"/>
      <c r="C401" s="45"/>
      <c r="D401" s="45"/>
      <c r="E401" s="41"/>
      <c r="F401" s="41"/>
      <c r="G401" s="41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23"/>
      <c r="B402" s="41"/>
      <c r="C402" s="45"/>
      <c r="D402" s="45"/>
      <c r="E402" s="41"/>
      <c r="F402" s="41"/>
      <c r="G402" s="41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23"/>
      <c r="B403" s="41"/>
      <c r="C403" s="45"/>
      <c r="D403" s="45"/>
      <c r="E403" s="41"/>
      <c r="F403" s="41"/>
      <c r="G403" s="41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23"/>
      <c r="B404" s="41"/>
      <c r="C404" s="45"/>
      <c r="D404" s="45"/>
      <c r="E404" s="41"/>
      <c r="F404" s="41"/>
      <c r="G404" s="41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23"/>
      <c r="B405" s="41"/>
      <c r="C405" s="45"/>
      <c r="D405" s="45"/>
      <c r="E405" s="41"/>
      <c r="F405" s="41"/>
      <c r="G405" s="41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23"/>
      <c r="B406" s="41"/>
      <c r="C406" s="45"/>
      <c r="D406" s="45"/>
      <c r="E406" s="41"/>
      <c r="F406" s="41"/>
      <c r="G406" s="41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23"/>
      <c r="B407" s="41"/>
      <c r="C407" s="45"/>
      <c r="D407" s="45"/>
      <c r="E407" s="41"/>
      <c r="F407" s="41"/>
      <c r="G407" s="41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23"/>
      <c r="B408" s="41"/>
      <c r="C408" s="45"/>
      <c r="D408" s="45"/>
      <c r="E408" s="41"/>
      <c r="F408" s="41"/>
      <c r="G408" s="41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23"/>
      <c r="B409" s="41"/>
      <c r="C409" s="45"/>
      <c r="D409" s="45"/>
      <c r="E409" s="41"/>
      <c r="F409" s="41"/>
      <c r="G409" s="41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23"/>
      <c r="B410" s="41"/>
      <c r="C410" s="45"/>
      <c r="D410" s="45"/>
      <c r="E410" s="41"/>
      <c r="F410" s="41"/>
      <c r="G410" s="41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23"/>
      <c r="B411" s="41"/>
      <c r="C411" s="45"/>
      <c r="D411" s="45"/>
      <c r="E411" s="41"/>
      <c r="F411" s="41"/>
      <c r="G411" s="41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23"/>
      <c r="B412" s="41"/>
      <c r="C412" s="45"/>
      <c r="D412" s="45"/>
      <c r="E412" s="41"/>
      <c r="F412" s="41"/>
      <c r="G412" s="41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23"/>
      <c r="B413" s="41"/>
      <c r="C413" s="45"/>
      <c r="D413" s="45"/>
      <c r="E413" s="41"/>
      <c r="F413" s="41"/>
      <c r="G413" s="41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23"/>
      <c r="B414" s="41"/>
      <c r="C414" s="45"/>
      <c r="D414" s="45"/>
      <c r="E414" s="41"/>
      <c r="F414" s="41"/>
      <c r="G414" s="41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23"/>
      <c r="B415" s="41"/>
      <c r="C415" s="45"/>
      <c r="D415" s="45"/>
      <c r="E415" s="41"/>
      <c r="F415" s="41"/>
      <c r="G415" s="41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1"/>
      <c r="B416" s="41"/>
      <c r="C416" s="45"/>
      <c r="D416" s="45"/>
      <c r="E416" s="41"/>
      <c r="F416" s="41"/>
      <c r="G416" s="41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1"/>
      <c r="B417" s="41"/>
      <c r="C417" s="45"/>
      <c r="D417" s="45"/>
      <c r="E417" s="41"/>
      <c r="F417" s="41"/>
      <c r="G417" s="41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1"/>
      <c r="B418" s="41"/>
      <c r="C418" s="45"/>
      <c r="D418" s="45"/>
      <c r="E418" s="41"/>
      <c r="F418" s="41"/>
      <c r="G418" s="41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1"/>
      <c r="B419" s="41"/>
      <c r="C419" s="45"/>
      <c r="D419" s="45"/>
      <c r="E419" s="41"/>
      <c r="F419" s="41"/>
      <c r="G419" s="41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1"/>
      <c r="B420" s="41"/>
      <c r="C420" s="45"/>
      <c r="D420" s="45"/>
      <c r="E420" s="41"/>
      <c r="F420" s="41"/>
      <c r="G420" s="41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1"/>
      <c r="B421" s="41"/>
      <c r="C421" s="45"/>
      <c r="D421" s="45"/>
      <c r="E421" s="41"/>
      <c r="F421" s="41"/>
      <c r="G421" s="41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1"/>
      <c r="B422" s="41"/>
      <c r="C422" s="45"/>
      <c r="D422" s="45"/>
      <c r="E422" s="41"/>
      <c r="F422" s="41"/>
      <c r="G422" s="41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1"/>
      <c r="B423" s="41"/>
      <c r="C423" s="45"/>
      <c r="D423" s="45"/>
      <c r="E423" s="41"/>
      <c r="F423" s="41"/>
      <c r="G423" s="41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1"/>
      <c r="B424" s="41"/>
      <c r="C424" s="45"/>
      <c r="D424" s="45"/>
      <c r="E424" s="41"/>
      <c r="F424" s="41"/>
      <c r="G424" s="41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1"/>
      <c r="B425" s="41"/>
      <c r="C425" s="45"/>
      <c r="D425" s="45"/>
      <c r="E425" s="41"/>
      <c r="F425" s="41"/>
      <c r="G425" s="41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1"/>
      <c r="B426" s="41"/>
      <c r="C426" s="45"/>
      <c r="D426" s="45"/>
      <c r="E426" s="41"/>
      <c r="F426" s="41"/>
      <c r="G426" s="41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1"/>
      <c r="B427" s="41"/>
      <c r="C427" s="45"/>
      <c r="D427" s="45"/>
      <c r="E427" s="41"/>
      <c r="F427" s="41"/>
      <c r="G427" s="41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1"/>
      <c r="B428" s="41"/>
      <c r="C428" s="45"/>
      <c r="D428" s="45"/>
      <c r="E428" s="41"/>
      <c r="F428" s="41"/>
      <c r="G428" s="41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1"/>
      <c r="B429" s="41"/>
      <c r="C429" s="45"/>
      <c r="D429" s="45"/>
      <c r="E429" s="41"/>
      <c r="F429" s="41"/>
      <c r="G429" s="41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1"/>
      <c r="B430" s="41"/>
      <c r="C430" s="45"/>
      <c r="D430" s="45"/>
      <c r="E430" s="41"/>
      <c r="F430" s="41"/>
      <c r="G430" s="41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1"/>
      <c r="B431" s="41"/>
      <c r="C431" s="45"/>
      <c r="D431" s="45"/>
      <c r="E431" s="41"/>
      <c r="F431" s="41"/>
      <c r="G431" s="41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1"/>
      <c r="B432" s="41"/>
      <c r="C432" s="45"/>
      <c r="D432" s="45"/>
      <c r="E432" s="41"/>
      <c r="F432" s="41"/>
      <c r="G432" s="41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1"/>
      <c r="B433" s="41"/>
      <c r="C433" s="45"/>
      <c r="D433" s="45"/>
      <c r="E433" s="41"/>
      <c r="F433" s="41"/>
      <c r="G433" s="41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1"/>
      <c r="B434" s="41"/>
      <c r="C434" s="45"/>
      <c r="D434" s="45"/>
      <c r="E434" s="41"/>
      <c r="F434" s="41"/>
      <c r="G434" s="41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1"/>
      <c r="B435" s="41"/>
      <c r="C435" s="45"/>
      <c r="D435" s="45"/>
      <c r="E435" s="41"/>
      <c r="F435" s="41"/>
      <c r="G435" s="41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1"/>
      <c r="B436" s="41"/>
      <c r="C436" s="45"/>
      <c r="D436" s="45"/>
      <c r="E436" s="41"/>
      <c r="F436" s="41"/>
      <c r="G436" s="41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1"/>
      <c r="B437" s="41"/>
      <c r="C437" s="45"/>
      <c r="D437" s="45"/>
      <c r="E437" s="41"/>
      <c r="F437" s="41"/>
      <c r="G437" s="41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1"/>
      <c r="B438" s="41"/>
      <c r="C438" s="45"/>
      <c r="D438" s="45"/>
      <c r="E438" s="41"/>
      <c r="F438" s="41"/>
      <c r="G438" s="41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1"/>
      <c r="B439" s="41"/>
      <c r="C439" s="45"/>
      <c r="D439" s="45"/>
      <c r="E439" s="41"/>
      <c r="F439" s="41"/>
      <c r="G439" s="41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1"/>
      <c r="B440" s="41"/>
      <c r="C440" s="45"/>
      <c r="D440" s="45"/>
      <c r="E440" s="41"/>
      <c r="F440" s="41"/>
      <c r="G440" s="41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1"/>
      <c r="B441" s="41"/>
      <c r="C441" s="45"/>
      <c r="D441" s="45"/>
      <c r="E441" s="41"/>
      <c r="F441" s="41"/>
      <c r="G441" s="41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1"/>
      <c r="B442" s="41"/>
      <c r="C442" s="45"/>
      <c r="D442" s="45"/>
      <c r="E442" s="41"/>
      <c r="F442" s="41"/>
      <c r="G442" s="41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1"/>
      <c r="B443" s="41"/>
      <c r="C443" s="45"/>
      <c r="D443" s="45"/>
      <c r="E443" s="41"/>
      <c r="F443" s="41"/>
      <c r="G443" s="41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1"/>
      <c r="B444" s="41"/>
      <c r="C444" s="45"/>
      <c r="D444" s="45"/>
      <c r="E444" s="41"/>
      <c r="F444" s="41"/>
      <c r="G444" s="41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1"/>
      <c r="B445" s="41"/>
      <c r="C445" s="45"/>
      <c r="D445" s="45"/>
      <c r="E445" s="41"/>
      <c r="F445" s="41"/>
      <c r="G445" s="41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1"/>
      <c r="B446" s="41"/>
      <c r="C446" s="45"/>
      <c r="D446" s="45"/>
      <c r="E446" s="41"/>
      <c r="F446" s="41"/>
      <c r="G446" s="41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1"/>
      <c r="B447" s="41"/>
      <c r="C447" s="45"/>
      <c r="D447" s="45"/>
      <c r="E447" s="41"/>
      <c r="F447" s="41"/>
      <c r="G447" s="41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1"/>
      <c r="B448" s="41"/>
      <c r="C448" s="45"/>
      <c r="D448" s="45"/>
      <c r="E448" s="41"/>
      <c r="F448" s="41"/>
      <c r="G448" s="41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1"/>
      <c r="B449" s="41"/>
      <c r="C449" s="45"/>
      <c r="D449" s="45"/>
      <c r="E449" s="41"/>
      <c r="F449" s="41"/>
      <c r="G449" s="41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1"/>
      <c r="B450" s="41"/>
      <c r="C450" s="45"/>
      <c r="D450" s="45"/>
      <c r="E450" s="41"/>
      <c r="F450" s="41"/>
      <c r="G450" s="41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1"/>
      <c r="B451" s="41"/>
      <c r="C451" s="45"/>
      <c r="D451" s="45"/>
      <c r="E451" s="41"/>
      <c r="F451" s="41"/>
      <c r="G451" s="41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1"/>
      <c r="B452" s="41"/>
      <c r="C452" s="45"/>
      <c r="D452" s="45"/>
      <c r="E452" s="41"/>
      <c r="F452" s="41"/>
      <c r="G452" s="41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1"/>
      <c r="B453" s="41"/>
      <c r="C453" s="45"/>
      <c r="D453" s="45"/>
      <c r="E453" s="41"/>
      <c r="F453" s="41"/>
      <c r="G453" s="41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1"/>
      <c r="B454" s="41"/>
      <c r="C454" s="45"/>
      <c r="D454" s="45"/>
      <c r="E454" s="41"/>
      <c r="F454" s="41"/>
      <c r="G454" s="41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1"/>
      <c r="B455" s="41"/>
      <c r="C455" s="45"/>
      <c r="D455" s="45"/>
      <c r="E455" s="41"/>
      <c r="F455" s="41"/>
      <c r="G455" s="41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1"/>
      <c r="B456" s="41"/>
      <c r="C456" s="45"/>
      <c r="D456" s="45"/>
      <c r="E456" s="41"/>
      <c r="F456" s="41"/>
      <c r="G456" s="41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1"/>
      <c r="B457" s="41"/>
      <c r="C457" s="45"/>
      <c r="D457" s="45"/>
      <c r="E457" s="41"/>
      <c r="F457" s="41"/>
      <c r="G457" s="41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1"/>
      <c r="B458" s="41"/>
      <c r="C458" s="45"/>
      <c r="D458" s="45"/>
      <c r="E458" s="41"/>
      <c r="F458" s="41"/>
      <c r="G458" s="41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1"/>
      <c r="B459" s="41"/>
      <c r="C459" s="45"/>
      <c r="D459" s="45"/>
      <c r="E459" s="41"/>
      <c r="F459" s="41"/>
      <c r="G459" s="41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1"/>
      <c r="B460" s="41"/>
      <c r="C460" s="45"/>
      <c r="D460" s="45"/>
      <c r="E460" s="41"/>
      <c r="F460" s="41"/>
      <c r="G460" s="41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1"/>
      <c r="B461" s="41"/>
      <c r="C461" s="45"/>
      <c r="D461" s="45"/>
      <c r="E461" s="41"/>
      <c r="F461" s="41"/>
      <c r="G461" s="41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1"/>
      <c r="B462" s="41"/>
      <c r="C462" s="45"/>
      <c r="D462" s="45"/>
      <c r="E462" s="41"/>
      <c r="F462" s="41"/>
      <c r="G462" s="41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1"/>
      <c r="B463" s="41"/>
      <c r="C463" s="45"/>
      <c r="D463" s="45"/>
      <c r="E463" s="41"/>
      <c r="F463" s="41"/>
      <c r="G463" s="41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1"/>
      <c r="B464" s="41"/>
      <c r="C464" s="45"/>
      <c r="D464" s="45"/>
      <c r="E464" s="41"/>
      <c r="F464" s="41"/>
      <c r="G464" s="41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1"/>
      <c r="B465" s="41"/>
      <c r="C465" s="45"/>
      <c r="D465" s="45"/>
      <c r="E465" s="41"/>
      <c r="F465" s="41"/>
      <c r="G465" s="41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1"/>
      <c r="B466" s="41"/>
      <c r="C466" s="45"/>
      <c r="D466" s="45"/>
      <c r="E466" s="41"/>
      <c r="F466" s="41"/>
      <c r="G466" s="41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1"/>
      <c r="B467" s="41"/>
      <c r="C467" s="45"/>
      <c r="D467" s="45"/>
      <c r="E467" s="41"/>
      <c r="F467" s="41"/>
      <c r="G467" s="41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1"/>
      <c r="B468" s="41"/>
      <c r="C468" s="45"/>
      <c r="D468" s="45"/>
      <c r="E468" s="41"/>
      <c r="F468" s="41"/>
      <c r="G468" s="41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1"/>
      <c r="B469" s="41"/>
      <c r="C469" s="45"/>
      <c r="D469" s="45"/>
      <c r="E469" s="41"/>
      <c r="F469" s="41"/>
      <c r="G469" s="41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1"/>
      <c r="B470" s="41"/>
      <c r="C470" s="45"/>
      <c r="D470" s="45"/>
      <c r="E470" s="41"/>
      <c r="F470" s="41"/>
      <c r="G470" s="41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1"/>
      <c r="B471" s="41"/>
      <c r="C471" s="45"/>
      <c r="D471" s="45"/>
      <c r="E471" s="41"/>
      <c r="F471" s="41"/>
      <c r="G471" s="41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1"/>
      <c r="B472" s="41"/>
      <c r="C472" s="45"/>
      <c r="D472" s="45"/>
      <c r="E472" s="41"/>
      <c r="F472" s="41"/>
      <c r="G472" s="41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1"/>
      <c r="B473" s="41"/>
      <c r="C473" s="45"/>
      <c r="D473" s="45"/>
      <c r="E473" s="41"/>
      <c r="F473" s="41"/>
      <c r="G473" s="41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1"/>
      <c r="B474" s="41"/>
      <c r="C474" s="45"/>
      <c r="D474" s="45"/>
      <c r="E474" s="41"/>
      <c r="F474" s="41"/>
      <c r="G474" s="41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1"/>
      <c r="B475" s="41"/>
      <c r="C475" s="45"/>
      <c r="D475" s="45"/>
      <c r="E475" s="41"/>
      <c r="F475" s="41"/>
      <c r="G475" s="41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1"/>
      <c r="B476" s="41"/>
      <c r="C476" s="45"/>
      <c r="D476" s="45"/>
      <c r="E476" s="41"/>
      <c r="F476" s="41"/>
      <c r="G476" s="41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1"/>
      <c r="B477" s="41"/>
      <c r="C477" s="45"/>
      <c r="D477" s="45"/>
      <c r="E477" s="41"/>
      <c r="F477" s="41"/>
      <c r="G477" s="41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1"/>
      <c r="B478" s="41"/>
      <c r="C478" s="45"/>
      <c r="D478" s="45"/>
      <c r="E478" s="41"/>
      <c r="F478" s="41"/>
      <c r="G478" s="41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1"/>
      <c r="B479" s="41"/>
      <c r="C479" s="45"/>
      <c r="D479" s="45"/>
      <c r="E479" s="41"/>
      <c r="F479" s="41"/>
      <c r="G479" s="41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1"/>
      <c r="B480" s="41"/>
      <c r="C480" s="45"/>
      <c r="D480" s="45"/>
      <c r="E480" s="41"/>
      <c r="F480" s="41"/>
      <c r="G480" s="41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1"/>
      <c r="B481" s="41"/>
      <c r="C481" s="45"/>
      <c r="D481" s="45"/>
      <c r="E481" s="41"/>
      <c r="F481" s="41"/>
      <c r="G481" s="41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1"/>
      <c r="B482" s="41"/>
      <c r="C482" s="45"/>
      <c r="D482" s="45"/>
      <c r="E482" s="41"/>
      <c r="F482" s="41"/>
      <c r="G482" s="41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1"/>
      <c r="B483" s="41"/>
      <c r="C483" s="45"/>
      <c r="D483" s="45"/>
      <c r="E483" s="41"/>
      <c r="F483" s="41"/>
      <c r="G483" s="41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1"/>
      <c r="B484" s="41"/>
      <c r="C484" s="45"/>
      <c r="D484" s="45"/>
      <c r="E484" s="41"/>
      <c r="F484" s="41"/>
      <c r="G484" s="41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1"/>
      <c r="B485" s="41"/>
      <c r="C485" s="45"/>
      <c r="D485" s="45"/>
      <c r="E485" s="41"/>
      <c r="F485" s="41"/>
      <c r="G485" s="41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1"/>
      <c r="B486" s="41"/>
      <c r="C486" s="45"/>
      <c r="D486" s="45"/>
      <c r="E486" s="41"/>
      <c r="F486" s="41"/>
      <c r="G486" s="41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1"/>
      <c r="B487" s="41"/>
      <c r="C487" s="45"/>
      <c r="D487" s="45"/>
      <c r="E487" s="41"/>
      <c r="F487" s="41"/>
      <c r="G487" s="41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1"/>
      <c r="B488" s="41"/>
      <c r="C488" s="45"/>
      <c r="D488" s="45"/>
      <c r="E488" s="41"/>
      <c r="F488" s="41"/>
      <c r="G488" s="41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1"/>
      <c r="B489" s="41"/>
      <c r="C489" s="45"/>
      <c r="D489" s="45"/>
      <c r="E489" s="41"/>
      <c r="F489" s="41"/>
      <c r="G489" s="41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1"/>
      <c r="B490" s="41"/>
      <c r="C490" s="45"/>
      <c r="D490" s="45"/>
      <c r="E490" s="41"/>
      <c r="F490" s="41"/>
      <c r="G490" s="41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1"/>
      <c r="B491" s="41"/>
      <c r="C491" s="45"/>
      <c r="D491" s="45"/>
      <c r="E491" s="41"/>
      <c r="F491" s="41"/>
      <c r="G491" s="41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1"/>
      <c r="B492" s="41"/>
      <c r="C492" s="45"/>
      <c r="D492" s="45"/>
      <c r="E492" s="41"/>
      <c r="F492" s="41"/>
      <c r="G492" s="41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1"/>
      <c r="B493" s="41"/>
      <c r="C493" s="45"/>
      <c r="D493" s="45"/>
      <c r="E493" s="41"/>
      <c r="F493" s="41"/>
      <c r="G493" s="41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1"/>
      <c r="B494" s="41"/>
      <c r="C494" s="45"/>
      <c r="D494" s="45"/>
      <c r="E494" s="41"/>
      <c r="F494" s="41"/>
      <c r="G494" s="41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1"/>
      <c r="B495" s="41"/>
      <c r="C495" s="45"/>
      <c r="D495" s="45"/>
      <c r="E495" s="41"/>
      <c r="F495" s="41"/>
      <c r="G495" s="41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1"/>
      <c r="B496" s="41"/>
      <c r="C496" s="45"/>
      <c r="D496" s="45"/>
      <c r="E496" s="41"/>
      <c r="F496" s="41"/>
      <c r="G496" s="41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1"/>
      <c r="B497" s="41"/>
      <c r="C497" s="45"/>
      <c r="D497" s="45"/>
      <c r="E497" s="41"/>
      <c r="F497" s="41"/>
      <c r="G497" s="41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1"/>
      <c r="B498" s="41"/>
      <c r="C498" s="45"/>
      <c r="D498" s="45"/>
      <c r="E498" s="41"/>
      <c r="F498" s="41"/>
      <c r="G498" s="41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1"/>
      <c r="B499" s="41"/>
      <c r="C499" s="45"/>
      <c r="D499" s="45"/>
      <c r="E499" s="41"/>
      <c r="F499" s="41"/>
      <c r="G499" s="41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1"/>
      <c r="B500" s="41"/>
      <c r="C500" s="45"/>
      <c r="D500" s="45"/>
      <c r="E500" s="41"/>
      <c r="F500" s="41"/>
      <c r="G500" s="41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1"/>
      <c r="B501" s="41"/>
      <c r="C501" s="45"/>
      <c r="D501" s="45"/>
      <c r="E501" s="41"/>
      <c r="F501" s="41"/>
      <c r="G501" s="41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1"/>
      <c r="B502" s="41"/>
      <c r="C502" s="45"/>
      <c r="D502" s="45"/>
      <c r="E502" s="41"/>
      <c r="F502" s="41"/>
      <c r="G502" s="41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1"/>
      <c r="B503" s="41"/>
      <c r="C503" s="45"/>
      <c r="D503" s="45"/>
      <c r="E503" s="41"/>
      <c r="F503" s="41"/>
      <c r="G503" s="41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1"/>
      <c r="B504" s="41"/>
      <c r="C504" s="45"/>
      <c r="D504" s="45"/>
      <c r="E504" s="41"/>
      <c r="F504" s="41"/>
      <c r="G504" s="41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1"/>
      <c r="B505" s="41"/>
      <c r="C505" s="45"/>
      <c r="D505" s="45"/>
      <c r="E505" s="41"/>
      <c r="F505" s="41"/>
      <c r="G505" s="41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1"/>
      <c r="B506" s="41"/>
      <c r="C506" s="45"/>
      <c r="D506" s="45"/>
      <c r="E506" s="41"/>
      <c r="F506" s="41"/>
      <c r="G506" s="41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1"/>
      <c r="B507" s="41"/>
      <c r="C507" s="45"/>
      <c r="D507" s="45"/>
      <c r="E507" s="41"/>
      <c r="F507" s="41"/>
      <c r="G507" s="41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1"/>
      <c r="B508" s="41"/>
      <c r="C508" s="45"/>
      <c r="D508" s="45"/>
      <c r="E508" s="41"/>
      <c r="F508" s="41"/>
      <c r="G508" s="41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1"/>
      <c r="B509" s="41"/>
      <c r="C509" s="45"/>
      <c r="D509" s="45"/>
      <c r="E509" s="41"/>
      <c r="F509" s="41"/>
      <c r="G509" s="41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1"/>
      <c r="B510" s="41"/>
      <c r="C510" s="45"/>
      <c r="D510" s="45"/>
      <c r="E510" s="41"/>
      <c r="F510" s="41"/>
      <c r="G510" s="41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1"/>
      <c r="B511" s="41"/>
      <c r="C511" s="45"/>
      <c r="D511" s="45"/>
      <c r="E511" s="41"/>
      <c r="F511" s="41"/>
      <c r="G511" s="41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1"/>
      <c r="B512" s="41"/>
      <c r="C512" s="45"/>
      <c r="D512" s="45"/>
      <c r="E512" s="41"/>
      <c r="F512" s="41"/>
      <c r="G512" s="41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1"/>
      <c r="B513" s="41"/>
      <c r="C513" s="45"/>
      <c r="D513" s="45"/>
      <c r="E513" s="41"/>
      <c r="F513" s="41"/>
      <c r="G513" s="41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1"/>
      <c r="B514" s="41"/>
      <c r="C514" s="45"/>
      <c r="D514" s="45"/>
      <c r="E514" s="41"/>
      <c r="F514" s="41"/>
      <c r="G514" s="41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1"/>
      <c r="B515" s="41"/>
      <c r="C515" s="45"/>
      <c r="D515" s="45"/>
      <c r="E515" s="41"/>
      <c r="F515" s="41"/>
      <c r="G515" s="41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1"/>
      <c r="B516" s="41"/>
      <c r="C516" s="45"/>
      <c r="D516" s="45"/>
      <c r="E516" s="41"/>
      <c r="F516" s="41"/>
      <c r="G516" s="41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1"/>
      <c r="B517" s="41"/>
      <c r="C517" s="45"/>
      <c r="D517" s="45"/>
      <c r="E517" s="41"/>
      <c r="F517" s="41"/>
      <c r="G517" s="41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1"/>
      <c r="B518" s="41"/>
      <c r="C518" s="45"/>
      <c r="D518" s="45"/>
      <c r="E518" s="41"/>
      <c r="F518" s="41"/>
      <c r="G518" s="41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1"/>
      <c r="B519" s="41"/>
      <c r="C519" s="45"/>
      <c r="D519" s="45"/>
      <c r="E519" s="41"/>
      <c r="F519" s="41"/>
      <c r="G519" s="41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1"/>
      <c r="B520" s="41"/>
      <c r="C520" s="45"/>
      <c r="D520" s="45"/>
      <c r="E520" s="41"/>
      <c r="F520" s="41"/>
      <c r="G520" s="41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1"/>
      <c r="B521" s="41"/>
      <c r="C521" s="45"/>
      <c r="D521" s="45"/>
      <c r="E521" s="41"/>
      <c r="F521" s="41"/>
      <c r="G521" s="41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1"/>
      <c r="B522" s="41"/>
      <c r="C522" s="45"/>
      <c r="D522" s="45"/>
      <c r="E522" s="41"/>
      <c r="F522" s="41"/>
      <c r="G522" s="41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1"/>
      <c r="B523" s="41"/>
      <c r="C523" s="45"/>
      <c r="D523" s="45"/>
      <c r="E523" s="41"/>
      <c r="F523" s="41"/>
      <c r="G523" s="41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1"/>
      <c r="B524" s="41"/>
      <c r="C524" s="45"/>
      <c r="D524" s="45"/>
      <c r="E524" s="41"/>
      <c r="F524" s="41"/>
      <c r="G524" s="41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1"/>
      <c r="B525" s="41"/>
      <c r="C525" s="45"/>
      <c r="D525" s="45"/>
      <c r="E525" s="41"/>
      <c r="F525" s="41"/>
      <c r="G525" s="41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1"/>
      <c r="B526" s="41"/>
      <c r="C526" s="45"/>
      <c r="D526" s="45"/>
      <c r="E526" s="41"/>
      <c r="F526" s="41"/>
      <c r="G526" s="41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1"/>
      <c r="B527" s="41"/>
      <c r="C527" s="45"/>
      <c r="D527" s="45"/>
      <c r="E527" s="41"/>
      <c r="F527" s="41"/>
      <c r="G527" s="41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1"/>
      <c r="B528" s="41"/>
      <c r="C528" s="45"/>
      <c r="D528" s="45"/>
      <c r="E528" s="41"/>
      <c r="F528" s="41"/>
      <c r="G528" s="41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1"/>
      <c r="B529" s="41"/>
      <c r="C529" s="45"/>
      <c r="D529" s="45"/>
      <c r="E529" s="41"/>
      <c r="F529" s="41"/>
      <c r="G529" s="41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1"/>
      <c r="B530" s="41"/>
      <c r="C530" s="45"/>
      <c r="D530" s="45"/>
      <c r="E530" s="41"/>
      <c r="F530" s="41"/>
      <c r="G530" s="41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1"/>
      <c r="B531" s="41"/>
      <c r="C531" s="45"/>
      <c r="D531" s="45"/>
      <c r="E531" s="41"/>
      <c r="F531" s="41"/>
      <c r="G531" s="41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1"/>
      <c r="B532" s="41"/>
      <c r="C532" s="45"/>
      <c r="D532" s="45"/>
      <c r="E532" s="41"/>
      <c r="F532" s="41"/>
      <c r="G532" s="41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1"/>
      <c r="B533" s="41"/>
      <c r="C533" s="45"/>
      <c r="D533" s="45"/>
      <c r="E533" s="41"/>
      <c r="F533" s="41"/>
      <c r="G533" s="41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1"/>
      <c r="B534" s="41"/>
      <c r="C534" s="45"/>
      <c r="D534" s="45"/>
      <c r="E534" s="41"/>
      <c r="F534" s="41"/>
      <c r="G534" s="41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1"/>
      <c r="B535" s="41"/>
      <c r="C535" s="45"/>
      <c r="D535" s="45"/>
      <c r="E535" s="41"/>
      <c r="F535" s="41"/>
      <c r="G535" s="41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1"/>
      <c r="B536" s="41"/>
      <c r="C536" s="45"/>
      <c r="D536" s="45"/>
      <c r="E536" s="41"/>
      <c r="F536" s="41"/>
      <c r="G536" s="41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1"/>
      <c r="B537" s="41"/>
      <c r="C537" s="45"/>
      <c r="D537" s="45"/>
      <c r="E537" s="41"/>
      <c r="F537" s="41"/>
      <c r="G537" s="41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1"/>
      <c r="B538" s="41"/>
      <c r="C538" s="45"/>
      <c r="D538" s="45"/>
      <c r="E538" s="41"/>
      <c r="F538" s="41"/>
      <c r="G538" s="41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1"/>
      <c r="B539" s="41"/>
      <c r="C539" s="45"/>
      <c r="D539" s="45"/>
      <c r="E539" s="41"/>
      <c r="F539" s="41"/>
      <c r="G539" s="41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1"/>
      <c r="B540" s="41"/>
      <c r="C540" s="45"/>
      <c r="D540" s="45"/>
      <c r="E540" s="41"/>
      <c r="F540" s="41"/>
      <c r="G540" s="41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1"/>
      <c r="B541" s="41"/>
      <c r="C541" s="45"/>
      <c r="D541" s="45"/>
      <c r="E541" s="41"/>
      <c r="F541" s="41"/>
      <c r="G541" s="41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1"/>
      <c r="B542" s="41"/>
      <c r="C542" s="45"/>
      <c r="D542" s="45"/>
      <c r="E542" s="41"/>
      <c r="F542" s="41"/>
      <c r="G542" s="41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1"/>
      <c r="B543" s="41"/>
      <c r="C543" s="45"/>
      <c r="D543" s="45"/>
      <c r="E543" s="41"/>
      <c r="F543" s="41"/>
      <c r="G543" s="41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1"/>
      <c r="B544" s="41"/>
      <c r="C544" s="45"/>
      <c r="D544" s="45"/>
      <c r="E544" s="41"/>
      <c r="F544" s="41"/>
      <c r="G544" s="41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1"/>
      <c r="B545" s="41"/>
      <c r="C545" s="45"/>
      <c r="D545" s="45"/>
      <c r="E545" s="41"/>
      <c r="F545" s="41"/>
      <c r="G545" s="41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1"/>
      <c r="B546" s="41"/>
      <c r="C546" s="45"/>
      <c r="D546" s="45"/>
      <c r="E546" s="41"/>
      <c r="F546" s="41"/>
      <c r="G546" s="41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1"/>
      <c r="B547" s="41"/>
      <c r="C547" s="45"/>
      <c r="D547" s="45"/>
      <c r="E547" s="41"/>
      <c r="F547" s="41"/>
      <c r="G547" s="41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1"/>
      <c r="B548" s="41"/>
      <c r="C548" s="45"/>
      <c r="D548" s="45"/>
      <c r="E548" s="41"/>
      <c r="F548" s="41"/>
      <c r="G548" s="41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1"/>
      <c r="B549" s="41"/>
      <c r="C549" s="45"/>
      <c r="D549" s="45"/>
      <c r="E549" s="41"/>
      <c r="F549" s="41"/>
      <c r="G549" s="41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1"/>
      <c r="B550" s="41"/>
      <c r="C550" s="45"/>
      <c r="D550" s="45"/>
      <c r="E550" s="41"/>
      <c r="F550" s="41"/>
      <c r="G550" s="41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1"/>
      <c r="B551" s="41"/>
      <c r="C551" s="45"/>
      <c r="D551" s="45"/>
      <c r="E551" s="41"/>
      <c r="F551" s="41"/>
      <c r="G551" s="41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1"/>
      <c r="B552" s="41"/>
      <c r="C552" s="45"/>
      <c r="D552" s="45"/>
      <c r="E552" s="41"/>
      <c r="F552" s="41"/>
      <c r="G552" s="41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1"/>
      <c r="B553" s="41"/>
      <c r="C553" s="45"/>
      <c r="D553" s="45"/>
      <c r="E553" s="41"/>
      <c r="F553" s="41"/>
      <c r="G553" s="41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1"/>
      <c r="B554" s="41"/>
      <c r="C554" s="45"/>
      <c r="D554" s="45"/>
      <c r="E554" s="41"/>
      <c r="F554" s="41"/>
      <c r="G554" s="41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1"/>
      <c r="B555" s="41"/>
      <c r="C555" s="45"/>
      <c r="D555" s="45"/>
      <c r="E555" s="41"/>
      <c r="F555" s="41"/>
      <c r="G555" s="41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1"/>
      <c r="B556" s="41"/>
      <c r="C556" s="45"/>
      <c r="D556" s="45"/>
      <c r="E556" s="41"/>
      <c r="F556" s="41"/>
      <c r="G556" s="41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1"/>
      <c r="B557" s="41"/>
      <c r="C557" s="45"/>
      <c r="D557" s="45"/>
      <c r="E557" s="41"/>
      <c r="F557" s="41"/>
      <c r="G557" s="41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1"/>
      <c r="B558" s="41"/>
      <c r="C558" s="45"/>
      <c r="D558" s="45"/>
      <c r="E558" s="41"/>
      <c r="F558" s="41"/>
      <c r="G558" s="41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1"/>
      <c r="B559" s="41"/>
      <c r="C559" s="45"/>
      <c r="D559" s="45"/>
      <c r="E559" s="41"/>
      <c r="F559" s="41"/>
      <c r="G559" s="41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1"/>
      <c r="B560" s="41"/>
      <c r="C560" s="45"/>
      <c r="D560" s="45"/>
      <c r="E560" s="41"/>
      <c r="F560" s="41"/>
      <c r="G560" s="41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1"/>
      <c r="B561" s="41"/>
      <c r="C561" s="45"/>
      <c r="D561" s="45"/>
      <c r="E561" s="41"/>
      <c r="F561" s="41"/>
      <c r="G561" s="41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1"/>
      <c r="B562" s="41"/>
      <c r="C562" s="45"/>
      <c r="D562" s="45"/>
      <c r="E562" s="41"/>
      <c r="F562" s="41"/>
      <c r="G562" s="41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1"/>
      <c r="B563" s="41"/>
      <c r="C563" s="45"/>
      <c r="D563" s="45"/>
      <c r="E563" s="41"/>
      <c r="F563" s="41"/>
      <c r="G563" s="41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1"/>
      <c r="B564" s="41"/>
      <c r="C564" s="45"/>
      <c r="D564" s="45"/>
      <c r="E564" s="41"/>
      <c r="F564" s="41"/>
      <c r="G564" s="41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1"/>
      <c r="B565" s="41"/>
      <c r="C565" s="45"/>
      <c r="D565" s="45"/>
      <c r="E565" s="41"/>
      <c r="F565" s="41"/>
      <c r="G565" s="41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1"/>
      <c r="B566" s="41"/>
      <c r="C566" s="45"/>
      <c r="D566" s="45"/>
      <c r="E566" s="41"/>
      <c r="F566" s="41"/>
      <c r="G566" s="41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1"/>
      <c r="B567" s="41"/>
      <c r="C567" s="45"/>
      <c r="D567" s="45"/>
      <c r="E567" s="41"/>
      <c r="F567" s="41"/>
      <c r="G567" s="41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1"/>
      <c r="B568" s="41"/>
      <c r="C568" s="45"/>
      <c r="D568" s="45"/>
      <c r="E568" s="41"/>
      <c r="F568" s="41"/>
      <c r="G568" s="41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1"/>
      <c r="B569" s="41"/>
      <c r="C569" s="45"/>
      <c r="D569" s="45"/>
      <c r="E569" s="41"/>
      <c r="F569" s="41"/>
      <c r="G569" s="41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1"/>
      <c r="B570" s="41"/>
      <c r="C570" s="45"/>
      <c r="D570" s="45"/>
      <c r="E570" s="41"/>
      <c r="F570" s="41"/>
      <c r="G570" s="41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1"/>
      <c r="B571" s="41"/>
      <c r="C571" s="45"/>
      <c r="D571" s="45"/>
      <c r="E571" s="41"/>
      <c r="F571" s="41"/>
      <c r="G571" s="41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1"/>
      <c r="B572" s="41"/>
      <c r="C572" s="45"/>
      <c r="D572" s="45"/>
      <c r="E572" s="41"/>
      <c r="F572" s="41"/>
      <c r="G572" s="41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1"/>
      <c r="B573" s="41"/>
      <c r="C573" s="45"/>
      <c r="D573" s="45"/>
      <c r="E573" s="41"/>
      <c r="F573" s="41"/>
      <c r="G573" s="41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1"/>
      <c r="B574" s="41"/>
      <c r="C574" s="45"/>
      <c r="D574" s="45"/>
      <c r="E574" s="41"/>
      <c r="F574" s="41"/>
      <c r="G574" s="41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1"/>
      <c r="B575" s="41"/>
      <c r="C575" s="45"/>
      <c r="D575" s="45"/>
      <c r="E575" s="41"/>
      <c r="F575" s="41"/>
      <c r="G575" s="41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1"/>
      <c r="B576" s="41"/>
      <c r="C576" s="45"/>
      <c r="D576" s="45"/>
      <c r="E576" s="41"/>
      <c r="F576" s="41"/>
      <c r="G576" s="41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1"/>
      <c r="B577" s="41"/>
      <c r="C577" s="45"/>
      <c r="D577" s="45"/>
      <c r="E577" s="41"/>
      <c r="F577" s="41"/>
      <c r="G577" s="41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1"/>
      <c r="B578" s="41"/>
      <c r="C578" s="45"/>
      <c r="D578" s="45"/>
      <c r="E578" s="41"/>
      <c r="F578" s="41"/>
      <c r="G578" s="41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1"/>
      <c r="B579" s="41"/>
      <c r="C579" s="45"/>
      <c r="D579" s="45"/>
      <c r="E579" s="41"/>
      <c r="F579" s="41"/>
      <c r="G579" s="41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1"/>
      <c r="B580" s="41"/>
      <c r="C580" s="45"/>
      <c r="D580" s="45"/>
      <c r="E580" s="41"/>
      <c r="F580" s="41"/>
      <c r="G580" s="41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1"/>
      <c r="B581" s="41"/>
      <c r="C581" s="45"/>
      <c r="D581" s="45"/>
      <c r="E581" s="41"/>
      <c r="F581" s="41"/>
      <c r="G581" s="41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1"/>
      <c r="B582" s="41"/>
      <c r="C582" s="45"/>
      <c r="D582" s="45"/>
      <c r="E582" s="41"/>
      <c r="F582" s="41"/>
      <c r="G582" s="41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1"/>
      <c r="B583" s="41"/>
      <c r="C583" s="45"/>
      <c r="D583" s="45"/>
      <c r="E583" s="41"/>
      <c r="F583" s="41"/>
      <c r="G583" s="41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1"/>
      <c r="B584" s="41"/>
      <c r="C584" s="45"/>
      <c r="D584" s="45"/>
      <c r="E584" s="41"/>
      <c r="F584" s="41"/>
      <c r="G584" s="41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1"/>
      <c r="B585" s="41"/>
      <c r="C585" s="45"/>
      <c r="D585" s="45"/>
      <c r="E585" s="41"/>
      <c r="F585" s="41"/>
      <c r="G585" s="41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1"/>
      <c r="B586" s="41"/>
      <c r="C586" s="45"/>
      <c r="D586" s="45"/>
      <c r="E586" s="41"/>
      <c r="F586" s="41"/>
      <c r="G586" s="41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1"/>
      <c r="B587" s="41"/>
      <c r="C587" s="45"/>
      <c r="D587" s="45"/>
      <c r="E587" s="41"/>
      <c r="F587" s="41"/>
      <c r="G587" s="41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1"/>
      <c r="B588" s="41"/>
      <c r="C588" s="45"/>
      <c r="D588" s="45"/>
      <c r="E588" s="41"/>
      <c r="F588" s="41"/>
      <c r="G588" s="41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1"/>
      <c r="B589" s="41"/>
      <c r="C589" s="45"/>
      <c r="D589" s="45"/>
      <c r="E589" s="41"/>
      <c r="F589" s="41"/>
      <c r="G589" s="41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1"/>
      <c r="B590" s="41"/>
      <c r="C590" s="45"/>
      <c r="D590" s="45"/>
      <c r="E590" s="41"/>
      <c r="F590" s="41"/>
      <c r="G590" s="41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1"/>
      <c r="B591" s="41"/>
      <c r="C591" s="45"/>
      <c r="D591" s="45"/>
      <c r="E591" s="41"/>
      <c r="F591" s="41"/>
      <c r="G591" s="41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1"/>
      <c r="B592" s="41"/>
      <c r="C592" s="45"/>
      <c r="D592" s="45"/>
      <c r="E592" s="41"/>
      <c r="F592" s="41"/>
      <c r="G592" s="41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1"/>
      <c r="B593" s="41"/>
      <c r="C593" s="45"/>
      <c r="D593" s="45"/>
      <c r="E593" s="41"/>
      <c r="F593" s="41"/>
      <c r="G593" s="41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1"/>
      <c r="B594" s="41"/>
      <c r="C594" s="45"/>
      <c r="D594" s="45"/>
      <c r="E594" s="41"/>
      <c r="F594" s="41"/>
      <c r="G594" s="41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1"/>
      <c r="B595" s="41"/>
      <c r="C595" s="45"/>
      <c r="D595" s="45"/>
      <c r="E595" s="41"/>
      <c r="F595" s="41"/>
      <c r="G595" s="41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1"/>
      <c r="B596" s="41"/>
      <c r="C596" s="45"/>
      <c r="D596" s="45"/>
      <c r="E596" s="41"/>
      <c r="F596" s="41"/>
      <c r="G596" s="41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1"/>
      <c r="B597" s="41"/>
      <c r="C597" s="45"/>
      <c r="D597" s="45"/>
      <c r="E597" s="41"/>
      <c r="F597" s="41"/>
      <c r="G597" s="41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1"/>
      <c r="B598" s="41"/>
      <c r="C598" s="45"/>
      <c r="D598" s="45"/>
      <c r="E598" s="41"/>
      <c r="F598" s="41"/>
      <c r="G598" s="41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1"/>
      <c r="B599" s="41"/>
      <c r="C599" s="45"/>
      <c r="D599" s="45"/>
      <c r="E599" s="41"/>
      <c r="F599" s="41"/>
      <c r="G599" s="41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1"/>
      <c r="B600" s="41"/>
      <c r="C600" s="45"/>
      <c r="D600" s="45"/>
      <c r="E600" s="41"/>
      <c r="F600" s="41"/>
      <c r="G600" s="41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1"/>
      <c r="B601" s="41"/>
      <c r="C601" s="45"/>
      <c r="D601" s="45"/>
      <c r="E601" s="41"/>
      <c r="F601" s="41"/>
      <c r="G601" s="41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1"/>
      <c r="B602" s="41"/>
      <c r="C602" s="45"/>
      <c r="D602" s="45"/>
      <c r="E602" s="41"/>
      <c r="F602" s="41"/>
      <c r="G602" s="41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1"/>
      <c r="B603" s="41"/>
      <c r="C603" s="45"/>
      <c r="D603" s="45"/>
      <c r="E603" s="41"/>
      <c r="F603" s="41"/>
      <c r="G603" s="41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1"/>
      <c r="B604" s="41"/>
      <c r="C604" s="45"/>
      <c r="D604" s="45"/>
      <c r="E604" s="41"/>
      <c r="F604" s="41"/>
      <c r="G604" s="41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1"/>
      <c r="B605" s="41"/>
      <c r="C605" s="45"/>
      <c r="D605" s="45"/>
      <c r="E605" s="41"/>
      <c r="F605" s="41"/>
      <c r="G605" s="41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1"/>
      <c r="B606" s="41"/>
      <c r="C606" s="45"/>
      <c r="D606" s="45"/>
      <c r="E606" s="41"/>
      <c r="F606" s="41"/>
      <c r="G606" s="41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1"/>
      <c r="B607" s="41"/>
      <c r="C607" s="45"/>
      <c r="D607" s="45"/>
      <c r="E607" s="41"/>
      <c r="F607" s="41"/>
      <c r="G607" s="41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1"/>
      <c r="B608" s="41"/>
      <c r="C608" s="45"/>
      <c r="D608" s="45"/>
      <c r="E608" s="41"/>
      <c r="F608" s="41"/>
      <c r="G608" s="41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1"/>
      <c r="B609" s="41"/>
      <c r="C609" s="45"/>
      <c r="D609" s="45"/>
      <c r="E609" s="41"/>
      <c r="F609" s="41"/>
      <c r="G609" s="41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1"/>
      <c r="B610" s="41"/>
      <c r="C610" s="45"/>
      <c r="D610" s="45"/>
      <c r="E610" s="41"/>
      <c r="F610" s="41"/>
      <c r="G610" s="41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1"/>
      <c r="B611" s="41"/>
      <c r="C611" s="45"/>
      <c r="D611" s="45"/>
      <c r="E611" s="41"/>
      <c r="F611" s="41"/>
      <c r="G611" s="41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1"/>
      <c r="B612" s="41"/>
      <c r="C612" s="45"/>
      <c r="D612" s="45"/>
      <c r="E612" s="41"/>
      <c r="F612" s="41"/>
      <c r="G612" s="41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1"/>
      <c r="B613" s="41"/>
      <c r="C613" s="45"/>
      <c r="D613" s="45"/>
      <c r="E613" s="41"/>
      <c r="F613" s="41"/>
      <c r="G613" s="41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1"/>
      <c r="B614" s="41"/>
      <c r="C614" s="45"/>
      <c r="D614" s="45"/>
      <c r="E614" s="41"/>
      <c r="F614" s="41"/>
      <c r="G614" s="41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1"/>
      <c r="B615" s="41"/>
      <c r="C615" s="45"/>
      <c r="D615" s="45"/>
      <c r="E615" s="41"/>
      <c r="F615" s="41"/>
      <c r="G615" s="41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1"/>
      <c r="B616" s="41"/>
      <c r="C616" s="45"/>
      <c r="D616" s="45"/>
      <c r="E616" s="41"/>
      <c r="F616" s="41"/>
      <c r="G616" s="41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1"/>
      <c r="B617" s="41"/>
      <c r="C617" s="45"/>
      <c r="D617" s="45"/>
      <c r="E617" s="41"/>
      <c r="F617" s="41"/>
      <c r="G617" s="41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1"/>
      <c r="B618" s="41"/>
      <c r="C618" s="45"/>
      <c r="D618" s="45"/>
      <c r="E618" s="41"/>
      <c r="F618" s="41"/>
      <c r="G618" s="41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1"/>
      <c r="B619" s="41"/>
      <c r="C619" s="45"/>
      <c r="D619" s="45"/>
      <c r="E619" s="41"/>
      <c r="F619" s="41"/>
      <c r="G619" s="41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1"/>
      <c r="B620" s="41"/>
      <c r="C620" s="45"/>
      <c r="D620" s="45"/>
      <c r="E620" s="41"/>
      <c r="F620" s="41"/>
      <c r="G620" s="41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1"/>
      <c r="B621" s="41"/>
      <c r="C621" s="45"/>
      <c r="D621" s="45"/>
      <c r="E621" s="41"/>
      <c r="F621" s="41"/>
      <c r="G621" s="41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1"/>
      <c r="B622" s="41"/>
      <c r="C622" s="45"/>
      <c r="D622" s="45"/>
      <c r="E622" s="41"/>
      <c r="F622" s="41"/>
      <c r="G622" s="41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1"/>
      <c r="B623" s="41"/>
      <c r="C623" s="45"/>
      <c r="D623" s="45"/>
      <c r="E623" s="41"/>
      <c r="F623" s="41"/>
      <c r="G623" s="41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1"/>
      <c r="B624" s="41"/>
      <c r="C624" s="45"/>
      <c r="D624" s="45"/>
      <c r="E624" s="41"/>
      <c r="F624" s="41"/>
      <c r="G624" s="41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1"/>
      <c r="B625" s="41"/>
      <c r="C625" s="45"/>
      <c r="D625" s="45"/>
      <c r="E625" s="41"/>
      <c r="F625" s="41"/>
      <c r="G625" s="41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1"/>
      <c r="B626" s="41"/>
      <c r="C626" s="45"/>
      <c r="D626" s="45"/>
      <c r="E626" s="41"/>
      <c r="F626" s="41"/>
      <c r="G626" s="41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1"/>
      <c r="B627" s="41"/>
      <c r="C627" s="45"/>
      <c r="D627" s="45"/>
      <c r="E627" s="41"/>
      <c r="F627" s="41"/>
      <c r="G627" s="41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1"/>
      <c r="B628" s="41"/>
      <c r="C628" s="45"/>
      <c r="D628" s="45"/>
      <c r="E628" s="41"/>
      <c r="F628" s="41"/>
      <c r="G628" s="41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1"/>
      <c r="B629" s="41"/>
      <c r="C629" s="45"/>
      <c r="D629" s="45"/>
      <c r="E629" s="41"/>
      <c r="F629" s="41"/>
      <c r="G629" s="41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1"/>
      <c r="B630" s="41"/>
      <c r="C630" s="45"/>
      <c r="D630" s="45"/>
      <c r="E630" s="41"/>
      <c r="F630" s="41"/>
      <c r="G630" s="41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1"/>
      <c r="B631" s="41"/>
      <c r="C631" s="45"/>
      <c r="D631" s="45"/>
      <c r="E631" s="41"/>
      <c r="F631" s="41"/>
      <c r="G631" s="41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1"/>
      <c r="B632" s="41"/>
      <c r="C632" s="45"/>
      <c r="D632" s="45"/>
      <c r="E632" s="41"/>
      <c r="F632" s="41"/>
      <c r="G632" s="41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1"/>
      <c r="B633" s="41"/>
      <c r="C633" s="45"/>
      <c r="D633" s="45"/>
      <c r="E633" s="41"/>
      <c r="F633" s="41"/>
      <c r="G633" s="41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1"/>
      <c r="B634" s="41"/>
      <c r="C634" s="45"/>
      <c r="D634" s="45"/>
      <c r="E634" s="41"/>
      <c r="F634" s="41"/>
      <c r="G634" s="41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1"/>
      <c r="B635" s="41"/>
      <c r="C635" s="45"/>
      <c r="D635" s="45"/>
      <c r="E635" s="41"/>
      <c r="F635" s="41"/>
      <c r="G635" s="41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1"/>
      <c r="B636" s="41"/>
      <c r="C636" s="45"/>
      <c r="D636" s="45"/>
      <c r="E636" s="41"/>
      <c r="F636" s="41"/>
      <c r="G636" s="41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1"/>
      <c r="B637" s="41"/>
      <c r="C637" s="45"/>
      <c r="D637" s="45"/>
      <c r="E637" s="41"/>
      <c r="F637" s="41"/>
      <c r="G637" s="41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1"/>
      <c r="B638" s="41"/>
      <c r="C638" s="45"/>
      <c r="D638" s="45"/>
      <c r="E638" s="41"/>
      <c r="F638" s="41"/>
      <c r="G638" s="41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1"/>
      <c r="B639" s="41"/>
      <c r="C639" s="45"/>
      <c r="D639" s="45"/>
      <c r="E639" s="41"/>
      <c r="F639" s="41"/>
      <c r="G639" s="41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1"/>
      <c r="B640" s="41"/>
      <c r="C640" s="45"/>
      <c r="D640" s="45"/>
      <c r="E640" s="41"/>
      <c r="F640" s="41"/>
      <c r="G640" s="41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1"/>
      <c r="B641" s="41"/>
      <c r="C641" s="45"/>
      <c r="D641" s="45"/>
      <c r="E641" s="41"/>
      <c r="F641" s="41"/>
      <c r="G641" s="41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1"/>
      <c r="B642" s="41"/>
      <c r="C642" s="45"/>
      <c r="D642" s="45"/>
      <c r="E642" s="41"/>
      <c r="F642" s="41"/>
      <c r="G642" s="41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1"/>
      <c r="B643" s="41"/>
      <c r="C643" s="45"/>
      <c r="D643" s="45"/>
      <c r="E643" s="41"/>
      <c r="F643" s="41"/>
      <c r="G643" s="41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1"/>
      <c r="B644" s="41"/>
      <c r="C644" s="45"/>
      <c r="D644" s="45"/>
      <c r="E644" s="41"/>
      <c r="F644" s="41"/>
      <c r="G644" s="41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1"/>
      <c r="B645" s="41"/>
      <c r="C645" s="45"/>
      <c r="D645" s="45"/>
      <c r="E645" s="41"/>
      <c r="F645" s="41"/>
      <c r="G645" s="41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1"/>
      <c r="B646" s="41"/>
      <c r="C646" s="45"/>
      <c r="D646" s="45"/>
      <c r="E646" s="41"/>
      <c r="F646" s="41"/>
      <c r="G646" s="41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1"/>
      <c r="B647" s="41"/>
      <c r="C647" s="45"/>
      <c r="D647" s="45"/>
      <c r="E647" s="41"/>
      <c r="F647" s="41"/>
      <c r="G647" s="41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1"/>
      <c r="B648" s="41"/>
      <c r="C648" s="45"/>
      <c r="D648" s="45"/>
      <c r="E648" s="41"/>
      <c r="F648" s="41"/>
      <c r="G648" s="41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1"/>
      <c r="B649" s="41"/>
      <c r="C649" s="45"/>
      <c r="D649" s="45"/>
      <c r="E649" s="41"/>
      <c r="F649" s="41"/>
      <c r="G649" s="41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1"/>
      <c r="B650" s="41"/>
      <c r="C650" s="45"/>
      <c r="D650" s="45"/>
      <c r="E650" s="41"/>
      <c r="F650" s="41"/>
      <c r="G650" s="41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1"/>
      <c r="B651" s="41"/>
      <c r="C651" s="45"/>
      <c r="D651" s="45"/>
      <c r="E651" s="41"/>
      <c r="F651" s="41"/>
      <c r="G651" s="41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1"/>
      <c r="B652" s="41"/>
      <c r="C652" s="45"/>
      <c r="D652" s="45"/>
      <c r="E652" s="41"/>
      <c r="F652" s="41"/>
      <c r="G652" s="41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1"/>
      <c r="B653" s="41"/>
      <c r="C653" s="45"/>
      <c r="D653" s="45"/>
      <c r="E653" s="41"/>
      <c r="F653" s="41"/>
      <c r="G653" s="41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1"/>
      <c r="B654" s="41"/>
      <c r="C654" s="45"/>
      <c r="D654" s="45"/>
      <c r="E654" s="41"/>
      <c r="F654" s="41"/>
      <c r="G654" s="41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1"/>
      <c r="B655" s="41"/>
      <c r="C655" s="45"/>
      <c r="D655" s="45"/>
      <c r="E655" s="41"/>
      <c r="F655" s="41"/>
      <c r="G655" s="41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1"/>
      <c r="B656" s="41"/>
      <c r="C656" s="45"/>
      <c r="D656" s="45"/>
      <c r="E656" s="41"/>
      <c r="F656" s="41"/>
      <c r="G656" s="41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1"/>
      <c r="B657" s="41"/>
      <c r="C657" s="45"/>
      <c r="D657" s="45"/>
      <c r="E657" s="41"/>
      <c r="F657" s="41"/>
      <c r="G657" s="41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1"/>
      <c r="B658" s="41"/>
      <c r="C658" s="45"/>
      <c r="D658" s="45"/>
      <c r="E658" s="41"/>
      <c r="F658" s="41"/>
      <c r="G658" s="41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1"/>
      <c r="B659" s="41"/>
      <c r="C659" s="45"/>
      <c r="D659" s="45"/>
      <c r="E659" s="41"/>
      <c r="F659" s="41"/>
      <c r="G659" s="41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1"/>
      <c r="B660" s="41"/>
      <c r="C660" s="45"/>
      <c r="D660" s="45"/>
      <c r="E660" s="41"/>
      <c r="F660" s="41"/>
      <c r="G660" s="41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1"/>
      <c r="B661" s="41"/>
      <c r="C661" s="45"/>
      <c r="D661" s="45"/>
      <c r="E661" s="41"/>
      <c r="F661" s="41"/>
      <c r="G661" s="41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1"/>
      <c r="B662" s="41"/>
      <c r="C662" s="45"/>
      <c r="D662" s="45"/>
      <c r="E662" s="41"/>
      <c r="F662" s="41"/>
      <c r="G662" s="41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1"/>
      <c r="B663" s="41"/>
      <c r="C663" s="45"/>
      <c r="D663" s="45"/>
      <c r="E663" s="41"/>
      <c r="F663" s="41"/>
      <c r="G663" s="41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1"/>
      <c r="B664" s="41"/>
      <c r="C664" s="45"/>
      <c r="D664" s="45"/>
      <c r="E664" s="41"/>
      <c r="F664" s="41"/>
      <c r="G664" s="41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1"/>
      <c r="B665" s="41"/>
      <c r="C665" s="45"/>
      <c r="D665" s="45"/>
      <c r="E665" s="41"/>
      <c r="F665" s="41"/>
      <c r="G665" s="41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1"/>
      <c r="B666" s="41"/>
      <c r="C666" s="45"/>
      <c r="D666" s="45"/>
      <c r="E666" s="41"/>
      <c r="F666" s="41"/>
      <c r="G666" s="41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1"/>
      <c r="B667" s="41"/>
      <c r="C667" s="45"/>
      <c r="D667" s="45"/>
      <c r="E667" s="41"/>
      <c r="F667" s="41"/>
      <c r="G667" s="41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1"/>
      <c r="B668" s="41"/>
      <c r="C668" s="45"/>
      <c r="D668" s="45"/>
      <c r="E668" s="41"/>
      <c r="F668" s="41"/>
      <c r="G668" s="41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1"/>
      <c r="B669" s="41"/>
      <c r="C669" s="45"/>
      <c r="D669" s="45"/>
      <c r="E669" s="41"/>
      <c r="F669" s="41"/>
      <c r="G669" s="41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1"/>
      <c r="B670" s="41"/>
      <c r="C670" s="45"/>
      <c r="D670" s="45"/>
      <c r="E670" s="41"/>
      <c r="F670" s="41"/>
      <c r="G670" s="41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1"/>
      <c r="B671" s="41"/>
      <c r="C671" s="45"/>
      <c r="D671" s="45"/>
      <c r="E671" s="41"/>
      <c r="F671" s="41"/>
      <c r="G671" s="41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1"/>
      <c r="B672" s="41"/>
      <c r="C672" s="45"/>
      <c r="D672" s="45"/>
      <c r="E672" s="41"/>
      <c r="F672" s="41"/>
      <c r="G672" s="41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1"/>
      <c r="B673" s="41"/>
      <c r="C673" s="45"/>
      <c r="D673" s="45"/>
      <c r="E673" s="41"/>
      <c r="F673" s="41"/>
      <c r="G673" s="41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1"/>
      <c r="B674" s="41"/>
      <c r="C674" s="45"/>
      <c r="D674" s="45"/>
      <c r="E674" s="41"/>
      <c r="F674" s="41"/>
      <c r="G674" s="41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1"/>
      <c r="B675" s="41"/>
      <c r="C675" s="45"/>
      <c r="D675" s="45"/>
      <c r="E675" s="41"/>
      <c r="F675" s="41"/>
      <c r="G675" s="41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1"/>
      <c r="B676" s="41"/>
      <c r="C676" s="45"/>
      <c r="D676" s="45"/>
      <c r="E676" s="41"/>
      <c r="F676" s="41"/>
      <c r="G676" s="41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1"/>
      <c r="B677" s="41"/>
      <c r="C677" s="45"/>
      <c r="D677" s="45"/>
      <c r="E677" s="41"/>
      <c r="F677" s="41"/>
      <c r="G677" s="41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1"/>
      <c r="B678" s="41"/>
      <c r="C678" s="45"/>
      <c r="D678" s="45"/>
      <c r="E678" s="41"/>
      <c r="F678" s="41"/>
      <c r="G678" s="41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1"/>
      <c r="B679" s="41"/>
      <c r="C679" s="45"/>
      <c r="D679" s="45"/>
      <c r="E679" s="41"/>
      <c r="F679" s="41"/>
      <c r="G679" s="41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1"/>
      <c r="B680" s="41"/>
      <c r="C680" s="45"/>
      <c r="D680" s="45"/>
      <c r="E680" s="41"/>
      <c r="F680" s="41"/>
      <c r="G680" s="41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1"/>
      <c r="B681" s="41"/>
      <c r="C681" s="45"/>
      <c r="D681" s="45"/>
      <c r="E681" s="41"/>
      <c r="F681" s="41"/>
      <c r="G681" s="41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1"/>
      <c r="B682" s="41"/>
      <c r="C682" s="45"/>
      <c r="D682" s="45"/>
      <c r="E682" s="41"/>
      <c r="F682" s="41"/>
      <c r="G682" s="41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1"/>
      <c r="B683" s="41"/>
      <c r="C683" s="45"/>
      <c r="D683" s="45"/>
      <c r="E683" s="41"/>
      <c r="F683" s="41"/>
      <c r="G683" s="41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1"/>
      <c r="B684" s="41"/>
      <c r="C684" s="45"/>
      <c r="D684" s="45"/>
      <c r="E684" s="41"/>
      <c r="F684" s="41"/>
      <c r="G684" s="41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1"/>
      <c r="B685" s="41"/>
      <c r="C685" s="45"/>
      <c r="D685" s="45"/>
      <c r="E685" s="41"/>
      <c r="F685" s="41"/>
      <c r="G685" s="41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1"/>
      <c r="B686" s="41"/>
      <c r="C686" s="45"/>
      <c r="D686" s="45"/>
      <c r="E686" s="41"/>
      <c r="F686" s="41"/>
      <c r="G686" s="41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1"/>
      <c r="B687" s="41"/>
      <c r="C687" s="45"/>
      <c r="D687" s="45"/>
      <c r="E687" s="41"/>
      <c r="F687" s="41"/>
      <c r="G687" s="41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1"/>
      <c r="B688" s="41"/>
      <c r="C688" s="45"/>
      <c r="D688" s="45"/>
      <c r="E688" s="41"/>
      <c r="F688" s="41"/>
      <c r="G688" s="41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1"/>
      <c r="B689" s="41"/>
      <c r="C689" s="45"/>
      <c r="D689" s="45"/>
      <c r="E689" s="41"/>
      <c r="F689" s="41"/>
      <c r="G689" s="41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1"/>
      <c r="B690" s="41"/>
      <c r="C690" s="45"/>
      <c r="D690" s="45"/>
      <c r="E690" s="41"/>
      <c r="F690" s="41"/>
      <c r="G690" s="41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1"/>
      <c r="B691" s="41"/>
      <c r="C691" s="45"/>
      <c r="D691" s="45"/>
      <c r="E691" s="41"/>
      <c r="F691" s="41"/>
      <c r="G691" s="41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1"/>
      <c r="B692" s="41"/>
      <c r="C692" s="45"/>
      <c r="D692" s="45"/>
      <c r="E692" s="41"/>
      <c r="F692" s="41"/>
      <c r="G692" s="41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1"/>
      <c r="B693" s="41"/>
      <c r="C693" s="45"/>
      <c r="D693" s="45"/>
      <c r="E693" s="41"/>
      <c r="F693" s="41"/>
      <c r="G693" s="41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1"/>
      <c r="B694" s="41"/>
      <c r="C694" s="45"/>
      <c r="D694" s="45"/>
      <c r="E694" s="41"/>
      <c r="F694" s="41"/>
      <c r="G694" s="41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1"/>
      <c r="B695" s="41"/>
      <c r="C695" s="45"/>
      <c r="D695" s="45"/>
      <c r="E695" s="41"/>
      <c r="F695" s="41"/>
      <c r="G695" s="41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1"/>
      <c r="B696" s="41"/>
      <c r="C696" s="45"/>
      <c r="D696" s="45"/>
      <c r="E696" s="41"/>
      <c r="F696" s="41"/>
      <c r="G696" s="41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1"/>
      <c r="B697" s="41"/>
      <c r="C697" s="45"/>
      <c r="D697" s="45"/>
      <c r="E697" s="41"/>
      <c r="F697" s="41"/>
      <c r="G697" s="41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1"/>
      <c r="B698" s="41"/>
      <c r="C698" s="45"/>
      <c r="D698" s="45"/>
      <c r="E698" s="41"/>
      <c r="F698" s="41"/>
      <c r="G698" s="41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1"/>
      <c r="B699" s="41"/>
      <c r="C699" s="45"/>
      <c r="D699" s="45"/>
      <c r="E699" s="41"/>
      <c r="F699" s="41"/>
      <c r="G699" s="41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1"/>
      <c r="B700" s="41"/>
      <c r="C700" s="45"/>
      <c r="D700" s="45"/>
      <c r="E700" s="41"/>
      <c r="F700" s="41"/>
      <c r="G700" s="41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1"/>
      <c r="B701" s="41"/>
      <c r="C701" s="45"/>
      <c r="D701" s="45"/>
      <c r="E701" s="41"/>
      <c r="F701" s="41"/>
      <c r="G701" s="41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1"/>
      <c r="B702" s="41"/>
      <c r="C702" s="45"/>
      <c r="D702" s="45"/>
      <c r="E702" s="41"/>
      <c r="F702" s="41"/>
      <c r="G702" s="41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1"/>
      <c r="B703" s="41"/>
      <c r="C703" s="45"/>
      <c r="D703" s="45"/>
      <c r="E703" s="41"/>
      <c r="F703" s="41"/>
      <c r="G703" s="41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1"/>
      <c r="B704" s="41"/>
      <c r="C704" s="45"/>
      <c r="D704" s="45"/>
      <c r="E704" s="41"/>
      <c r="F704" s="41"/>
      <c r="G704" s="41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1"/>
      <c r="B705" s="41"/>
      <c r="C705" s="45"/>
      <c r="D705" s="45"/>
      <c r="E705" s="41"/>
      <c r="F705" s="41"/>
      <c r="G705" s="41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1"/>
      <c r="B706" s="41"/>
      <c r="C706" s="45"/>
      <c r="D706" s="45"/>
      <c r="E706" s="41"/>
      <c r="F706" s="41"/>
      <c r="G706" s="41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1"/>
      <c r="B707" s="41"/>
      <c r="C707" s="45"/>
      <c r="D707" s="45"/>
      <c r="E707" s="41"/>
      <c r="F707" s="41"/>
      <c r="G707" s="41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1"/>
      <c r="B708" s="41"/>
      <c r="C708" s="45"/>
      <c r="D708" s="45"/>
      <c r="E708" s="41"/>
      <c r="F708" s="41"/>
      <c r="G708" s="41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1"/>
      <c r="B709" s="41"/>
      <c r="C709" s="45"/>
      <c r="D709" s="45"/>
      <c r="E709" s="41"/>
      <c r="F709" s="41"/>
      <c r="G709" s="41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1"/>
      <c r="B710" s="41"/>
      <c r="C710" s="45"/>
      <c r="D710" s="45"/>
      <c r="E710" s="41"/>
      <c r="F710" s="41"/>
      <c r="G710" s="41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1"/>
      <c r="B711" s="41"/>
      <c r="C711" s="45"/>
      <c r="D711" s="45"/>
      <c r="E711" s="41"/>
      <c r="F711" s="41"/>
      <c r="G711" s="41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1"/>
      <c r="B712" s="41"/>
      <c r="C712" s="45"/>
      <c r="D712" s="45"/>
      <c r="E712" s="41"/>
      <c r="F712" s="41"/>
      <c r="G712" s="41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1"/>
      <c r="B713" s="41"/>
      <c r="C713" s="45"/>
      <c r="D713" s="45"/>
      <c r="E713" s="41"/>
      <c r="F713" s="41"/>
      <c r="G713" s="41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1"/>
      <c r="B714" s="41"/>
      <c r="C714" s="45"/>
      <c r="D714" s="45"/>
      <c r="E714" s="41"/>
      <c r="F714" s="41"/>
      <c r="G714" s="41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1"/>
      <c r="B715" s="41"/>
      <c r="C715" s="45"/>
      <c r="D715" s="45"/>
      <c r="E715" s="41"/>
      <c r="F715" s="41"/>
      <c r="G715" s="41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1"/>
      <c r="B716" s="41"/>
      <c r="C716" s="45"/>
      <c r="D716" s="45"/>
      <c r="E716" s="41"/>
      <c r="F716" s="41"/>
      <c r="G716" s="41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1"/>
      <c r="B717" s="41"/>
      <c r="C717" s="45"/>
      <c r="D717" s="45"/>
      <c r="E717" s="41"/>
      <c r="F717" s="41"/>
      <c r="G717" s="41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1"/>
      <c r="B718" s="41"/>
      <c r="C718" s="45"/>
      <c r="D718" s="45"/>
      <c r="E718" s="41"/>
      <c r="F718" s="41"/>
      <c r="G718" s="41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1"/>
      <c r="B719" s="41"/>
      <c r="C719" s="45"/>
      <c r="D719" s="45"/>
      <c r="E719" s="41"/>
      <c r="F719" s="41"/>
      <c r="G719" s="41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1"/>
      <c r="B720" s="41"/>
      <c r="C720" s="45"/>
      <c r="D720" s="45"/>
      <c r="E720" s="41"/>
      <c r="F720" s="41"/>
      <c r="G720" s="41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1"/>
      <c r="B721" s="41"/>
      <c r="C721" s="45"/>
      <c r="D721" s="45"/>
      <c r="E721" s="41"/>
      <c r="F721" s="41"/>
      <c r="G721" s="41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1"/>
      <c r="B722" s="41"/>
      <c r="C722" s="45"/>
      <c r="D722" s="45"/>
      <c r="E722" s="41"/>
      <c r="F722" s="41"/>
      <c r="G722" s="41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1"/>
      <c r="B723" s="41"/>
      <c r="C723" s="45"/>
      <c r="D723" s="45"/>
      <c r="E723" s="41"/>
      <c r="F723" s="41"/>
      <c r="G723" s="41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1"/>
      <c r="B724" s="41"/>
      <c r="C724" s="45"/>
      <c r="D724" s="45"/>
      <c r="E724" s="41"/>
      <c r="F724" s="41"/>
      <c r="G724" s="41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1"/>
      <c r="B725" s="41"/>
      <c r="C725" s="45"/>
      <c r="D725" s="45"/>
      <c r="E725" s="41"/>
      <c r="F725" s="41"/>
      <c r="G725" s="41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1"/>
      <c r="B726" s="41"/>
      <c r="C726" s="45"/>
      <c r="D726" s="45"/>
      <c r="E726" s="41"/>
      <c r="F726" s="41"/>
      <c r="G726" s="41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1"/>
      <c r="B727" s="41"/>
      <c r="C727" s="45"/>
      <c r="D727" s="45"/>
      <c r="E727" s="41"/>
      <c r="F727" s="41"/>
      <c r="G727" s="41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1"/>
      <c r="B728" s="41"/>
      <c r="C728" s="45"/>
      <c r="D728" s="45"/>
      <c r="E728" s="41"/>
      <c r="F728" s="41"/>
      <c r="G728" s="41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1"/>
      <c r="B729" s="41"/>
      <c r="C729" s="45"/>
      <c r="D729" s="45"/>
      <c r="E729" s="41"/>
      <c r="F729" s="41"/>
      <c r="G729" s="41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1"/>
      <c r="B730" s="41"/>
      <c r="C730" s="45"/>
      <c r="D730" s="45"/>
      <c r="E730" s="41"/>
      <c r="F730" s="41"/>
      <c r="G730" s="41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1"/>
      <c r="B731" s="41"/>
      <c r="C731" s="45"/>
      <c r="D731" s="45"/>
      <c r="E731" s="41"/>
      <c r="F731" s="41"/>
      <c r="G731" s="41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1"/>
      <c r="B732" s="41"/>
      <c r="C732" s="45"/>
      <c r="D732" s="45"/>
      <c r="E732" s="41"/>
      <c r="F732" s="41"/>
      <c r="G732" s="41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1"/>
      <c r="B733" s="41"/>
      <c r="C733" s="45"/>
      <c r="D733" s="45"/>
      <c r="E733" s="41"/>
      <c r="F733" s="41"/>
      <c r="G733" s="41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1"/>
      <c r="B734" s="41"/>
      <c r="C734" s="45"/>
      <c r="D734" s="45"/>
      <c r="E734" s="41"/>
      <c r="F734" s="41"/>
      <c r="G734" s="41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1"/>
      <c r="B735" s="41"/>
      <c r="C735" s="45"/>
      <c r="D735" s="45"/>
      <c r="E735" s="41"/>
      <c r="F735" s="41"/>
      <c r="G735" s="41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1"/>
      <c r="B736" s="41"/>
      <c r="C736" s="45"/>
      <c r="D736" s="45"/>
      <c r="E736" s="41"/>
      <c r="F736" s="41"/>
      <c r="G736" s="41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1"/>
      <c r="B737" s="41"/>
      <c r="C737" s="45"/>
      <c r="D737" s="45"/>
      <c r="E737" s="41"/>
      <c r="F737" s="41"/>
      <c r="G737" s="41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1"/>
      <c r="B738" s="41"/>
      <c r="C738" s="45"/>
      <c r="D738" s="45"/>
      <c r="E738" s="41"/>
      <c r="F738" s="41"/>
      <c r="G738" s="41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1"/>
      <c r="B739" s="41"/>
      <c r="C739" s="45"/>
      <c r="D739" s="45"/>
      <c r="E739" s="41"/>
      <c r="F739" s="41"/>
      <c r="G739" s="41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1"/>
      <c r="B740" s="41"/>
      <c r="C740" s="45"/>
      <c r="D740" s="45"/>
      <c r="E740" s="41"/>
      <c r="F740" s="41"/>
      <c r="G740" s="41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1"/>
      <c r="B741" s="41"/>
      <c r="C741" s="45"/>
      <c r="D741" s="45"/>
      <c r="E741" s="41"/>
      <c r="F741" s="41"/>
      <c r="G741" s="41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1"/>
      <c r="B742" s="41"/>
      <c r="C742" s="45"/>
      <c r="D742" s="45"/>
      <c r="E742" s="41"/>
      <c r="F742" s="41"/>
      <c r="G742" s="41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1"/>
      <c r="B743" s="41"/>
      <c r="C743" s="45"/>
      <c r="D743" s="45"/>
      <c r="E743" s="41"/>
      <c r="F743" s="41"/>
      <c r="G743" s="41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1"/>
      <c r="B744" s="41"/>
      <c r="C744" s="45"/>
      <c r="D744" s="45"/>
      <c r="E744" s="41"/>
      <c r="F744" s="41"/>
      <c r="G744" s="41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1"/>
      <c r="B745" s="41"/>
      <c r="C745" s="45"/>
      <c r="D745" s="45"/>
      <c r="E745" s="41"/>
      <c r="F745" s="41"/>
      <c r="G745" s="41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1"/>
      <c r="B746" s="41"/>
      <c r="C746" s="45"/>
      <c r="D746" s="45"/>
      <c r="E746" s="41"/>
      <c r="F746" s="41"/>
      <c r="G746" s="41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1"/>
      <c r="B747" s="41"/>
      <c r="C747" s="45"/>
      <c r="D747" s="45"/>
      <c r="E747" s="41"/>
      <c r="F747" s="41"/>
      <c r="G747" s="41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1"/>
      <c r="B748" s="41"/>
      <c r="C748" s="45"/>
      <c r="D748" s="45"/>
      <c r="E748" s="41"/>
      <c r="F748" s="41"/>
      <c r="G748" s="41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1"/>
      <c r="B749" s="41"/>
      <c r="C749" s="45"/>
      <c r="D749" s="45"/>
      <c r="E749" s="41"/>
      <c r="F749" s="41"/>
      <c r="G749" s="41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1"/>
      <c r="B750" s="41"/>
      <c r="C750" s="45"/>
      <c r="D750" s="45"/>
      <c r="E750" s="41"/>
      <c r="F750" s="41"/>
      <c r="G750" s="41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1"/>
      <c r="B751" s="41"/>
      <c r="C751" s="45"/>
      <c r="D751" s="45"/>
      <c r="E751" s="41"/>
      <c r="F751" s="41"/>
      <c r="G751" s="41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1"/>
      <c r="B752" s="41"/>
      <c r="C752" s="45"/>
      <c r="D752" s="45"/>
      <c r="E752" s="41"/>
      <c r="F752" s="41"/>
      <c r="G752" s="41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1"/>
      <c r="B753" s="41"/>
      <c r="C753" s="45"/>
      <c r="D753" s="45"/>
      <c r="E753" s="41"/>
      <c r="F753" s="41"/>
      <c r="G753" s="41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1"/>
      <c r="B754" s="41"/>
      <c r="C754" s="45"/>
      <c r="D754" s="45"/>
      <c r="E754" s="41"/>
      <c r="F754" s="41"/>
      <c r="G754" s="41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1"/>
      <c r="B755" s="41"/>
      <c r="C755" s="45"/>
      <c r="D755" s="45"/>
      <c r="E755" s="41"/>
      <c r="F755" s="41"/>
      <c r="G755" s="41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1"/>
      <c r="B756" s="41"/>
      <c r="C756" s="45"/>
      <c r="D756" s="45"/>
      <c r="E756" s="41"/>
      <c r="F756" s="41"/>
      <c r="G756" s="41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1"/>
      <c r="B757" s="41"/>
      <c r="C757" s="45"/>
      <c r="D757" s="45"/>
      <c r="E757" s="41"/>
      <c r="F757" s="41"/>
      <c r="G757" s="41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1"/>
      <c r="B758" s="41"/>
      <c r="C758" s="45"/>
      <c r="D758" s="45"/>
      <c r="E758" s="41"/>
      <c r="F758" s="41"/>
      <c r="G758" s="41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1"/>
      <c r="B759" s="41"/>
      <c r="C759" s="45"/>
      <c r="D759" s="45"/>
      <c r="E759" s="41"/>
      <c r="F759" s="41"/>
      <c r="G759" s="41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1"/>
      <c r="B760" s="41"/>
      <c r="C760" s="45"/>
      <c r="D760" s="45"/>
      <c r="E760" s="41"/>
      <c r="F760" s="41"/>
      <c r="G760" s="41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1"/>
      <c r="B761" s="41"/>
      <c r="C761" s="45"/>
      <c r="D761" s="45"/>
      <c r="E761" s="41"/>
      <c r="F761" s="41"/>
      <c r="G761" s="41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1"/>
      <c r="B762" s="41"/>
      <c r="C762" s="45"/>
      <c r="D762" s="45"/>
      <c r="E762" s="41"/>
      <c r="F762" s="41"/>
      <c r="G762" s="41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1"/>
      <c r="B763" s="41"/>
      <c r="C763" s="45"/>
      <c r="D763" s="45"/>
      <c r="E763" s="41"/>
      <c r="F763" s="41"/>
      <c r="G763" s="41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1"/>
      <c r="B764" s="41"/>
      <c r="C764" s="45"/>
      <c r="D764" s="45"/>
      <c r="E764" s="41"/>
      <c r="F764" s="41"/>
      <c r="G764" s="41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1"/>
      <c r="B765" s="41"/>
      <c r="C765" s="45"/>
      <c r="D765" s="45"/>
      <c r="E765" s="41"/>
      <c r="F765" s="41"/>
      <c r="G765" s="41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1"/>
      <c r="B766" s="41"/>
      <c r="C766" s="45"/>
      <c r="D766" s="45"/>
      <c r="E766" s="41"/>
      <c r="F766" s="41"/>
      <c r="G766" s="41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1"/>
      <c r="B767" s="41"/>
      <c r="C767" s="45"/>
      <c r="D767" s="45"/>
      <c r="E767" s="41"/>
      <c r="F767" s="41"/>
      <c r="G767" s="41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1"/>
      <c r="B768" s="41"/>
      <c r="C768" s="45"/>
      <c r="D768" s="45"/>
      <c r="E768" s="41"/>
      <c r="F768" s="41"/>
      <c r="G768" s="41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1"/>
      <c r="B769" s="41"/>
      <c r="C769" s="45"/>
      <c r="D769" s="45"/>
      <c r="E769" s="41"/>
      <c r="F769" s="41"/>
      <c r="G769" s="41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1"/>
      <c r="B770" s="41"/>
      <c r="C770" s="45"/>
      <c r="D770" s="45"/>
      <c r="E770" s="41"/>
      <c r="F770" s="41"/>
      <c r="G770" s="41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1"/>
      <c r="B771" s="41"/>
      <c r="C771" s="45"/>
      <c r="D771" s="45"/>
      <c r="E771" s="41"/>
      <c r="F771" s="41"/>
      <c r="G771" s="41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1"/>
      <c r="B772" s="41"/>
      <c r="C772" s="45"/>
      <c r="D772" s="45"/>
      <c r="E772" s="41"/>
      <c r="F772" s="41"/>
      <c r="G772" s="41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1"/>
      <c r="B773" s="41"/>
      <c r="C773" s="45"/>
      <c r="D773" s="45"/>
      <c r="E773" s="41"/>
      <c r="F773" s="41"/>
      <c r="G773" s="41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1"/>
      <c r="B774" s="41"/>
      <c r="C774" s="45"/>
      <c r="D774" s="45"/>
      <c r="E774" s="41"/>
      <c r="F774" s="41"/>
      <c r="G774" s="41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1"/>
      <c r="B775" s="41"/>
      <c r="C775" s="45"/>
      <c r="D775" s="45"/>
      <c r="E775" s="41"/>
      <c r="F775" s="41"/>
      <c r="G775" s="41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1"/>
      <c r="B776" s="41"/>
      <c r="C776" s="45"/>
      <c r="D776" s="45"/>
      <c r="E776" s="41"/>
      <c r="F776" s="41"/>
      <c r="G776" s="41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1"/>
      <c r="B777" s="41"/>
      <c r="C777" s="45"/>
      <c r="D777" s="45"/>
      <c r="E777" s="41"/>
      <c r="F777" s="41"/>
      <c r="G777" s="41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1"/>
      <c r="B778" s="41"/>
      <c r="C778" s="45"/>
      <c r="D778" s="45"/>
      <c r="E778" s="41"/>
      <c r="F778" s="41"/>
      <c r="G778" s="41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1"/>
      <c r="B779" s="41"/>
      <c r="C779" s="45"/>
      <c r="D779" s="45"/>
      <c r="E779" s="41"/>
      <c r="F779" s="41"/>
      <c r="G779" s="41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1"/>
      <c r="B780" s="41"/>
      <c r="C780" s="45"/>
      <c r="D780" s="45"/>
      <c r="E780" s="41"/>
      <c r="F780" s="41"/>
      <c r="G780" s="41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1"/>
      <c r="B781" s="41"/>
      <c r="C781" s="45"/>
      <c r="D781" s="45"/>
      <c r="E781" s="41"/>
      <c r="F781" s="41"/>
      <c r="G781" s="41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1"/>
      <c r="B782" s="41"/>
      <c r="C782" s="45"/>
      <c r="D782" s="45"/>
      <c r="E782" s="41"/>
      <c r="F782" s="41"/>
      <c r="G782" s="41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1"/>
      <c r="B783" s="41"/>
      <c r="C783" s="45"/>
      <c r="D783" s="45"/>
      <c r="E783" s="41"/>
      <c r="F783" s="41"/>
      <c r="G783" s="41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1"/>
      <c r="B784" s="41"/>
      <c r="C784" s="45"/>
      <c r="D784" s="45"/>
      <c r="E784" s="41"/>
      <c r="F784" s="41"/>
      <c r="G784" s="41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1"/>
      <c r="B785" s="41"/>
      <c r="C785" s="45"/>
      <c r="D785" s="45"/>
      <c r="E785" s="41"/>
      <c r="F785" s="41"/>
      <c r="G785" s="41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1"/>
      <c r="B786" s="41"/>
      <c r="C786" s="45"/>
      <c r="D786" s="45"/>
      <c r="E786" s="41"/>
      <c r="F786" s="41"/>
      <c r="G786" s="41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1"/>
      <c r="B787" s="41"/>
      <c r="C787" s="45"/>
      <c r="D787" s="45"/>
      <c r="E787" s="41"/>
      <c r="F787" s="41"/>
      <c r="G787" s="41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1"/>
      <c r="B788" s="41"/>
      <c r="C788" s="45"/>
      <c r="D788" s="45"/>
      <c r="E788" s="41"/>
      <c r="F788" s="41"/>
      <c r="G788" s="41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1"/>
      <c r="B789" s="41"/>
      <c r="C789" s="45"/>
      <c r="D789" s="45"/>
      <c r="E789" s="41"/>
      <c r="F789" s="41"/>
      <c r="G789" s="41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1"/>
      <c r="B790" s="41"/>
      <c r="C790" s="45"/>
      <c r="D790" s="45"/>
      <c r="E790" s="41"/>
      <c r="F790" s="41"/>
      <c r="G790" s="41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1"/>
      <c r="B791" s="41"/>
      <c r="C791" s="45"/>
      <c r="D791" s="45"/>
      <c r="E791" s="41"/>
      <c r="F791" s="41"/>
      <c r="G791" s="41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1"/>
      <c r="B792" s="41"/>
      <c r="C792" s="45"/>
      <c r="D792" s="45"/>
      <c r="E792" s="41"/>
      <c r="F792" s="41"/>
      <c r="G792" s="41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1"/>
      <c r="B793" s="41"/>
      <c r="C793" s="45"/>
      <c r="D793" s="45"/>
      <c r="E793" s="41"/>
      <c r="F793" s="41"/>
      <c r="G793" s="41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1"/>
      <c r="B794" s="41"/>
      <c r="C794" s="45"/>
      <c r="D794" s="45"/>
      <c r="E794" s="41"/>
      <c r="F794" s="41"/>
      <c r="G794" s="41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1"/>
      <c r="B795" s="41"/>
      <c r="C795" s="45"/>
      <c r="D795" s="45"/>
      <c r="E795" s="41"/>
      <c r="F795" s="41"/>
      <c r="G795" s="41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1"/>
      <c r="B796" s="41"/>
      <c r="C796" s="45"/>
      <c r="D796" s="45"/>
      <c r="E796" s="41"/>
      <c r="F796" s="41"/>
      <c r="G796" s="41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1"/>
      <c r="B797" s="41"/>
      <c r="C797" s="45"/>
      <c r="D797" s="45"/>
      <c r="E797" s="41"/>
      <c r="F797" s="41"/>
      <c r="G797" s="41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1"/>
      <c r="B798" s="41"/>
      <c r="C798" s="45"/>
      <c r="D798" s="45"/>
      <c r="E798" s="41"/>
      <c r="F798" s="41"/>
      <c r="G798" s="41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1"/>
      <c r="B799" s="41"/>
      <c r="C799" s="45"/>
      <c r="D799" s="45"/>
      <c r="E799" s="41"/>
      <c r="F799" s="41"/>
      <c r="G799" s="41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1"/>
      <c r="B800" s="41"/>
      <c r="C800" s="45"/>
      <c r="D800" s="45"/>
      <c r="E800" s="41"/>
      <c r="F800" s="41"/>
      <c r="G800" s="41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1"/>
      <c r="B801" s="41"/>
      <c r="C801" s="45"/>
      <c r="D801" s="45"/>
      <c r="E801" s="41"/>
      <c r="F801" s="41"/>
      <c r="G801" s="41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1"/>
      <c r="B802" s="41"/>
      <c r="C802" s="45"/>
      <c r="D802" s="45"/>
      <c r="E802" s="41"/>
      <c r="F802" s="41"/>
      <c r="G802" s="41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1"/>
      <c r="B803" s="41"/>
      <c r="C803" s="45"/>
      <c r="D803" s="45"/>
      <c r="E803" s="41"/>
      <c r="F803" s="41"/>
      <c r="G803" s="41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1"/>
      <c r="B804" s="41"/>
      <c r="C804" s="45"/>
      <c r="D804" s="45"/>
      <c r="E804" s="41"/>
      <c r="F804" s="41"/>
      <c r="G804" s="41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1"/>
      <c r="B805" s="41"/>
      <c r="C805" s="45"/>
      <c r="D805" s="45"/>
      <c r="E805" s="41"/>
      <c r="F805" s="41"/>
      <c r="G805" s="41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1"/>
      <c r="B806" s="41"/>
      <c r="C806" s="45"/>
      <c r="D806" s="45"/>
      <c r="E806" s="41"/>
      <c r="F806" s="41"/>
      <c r="G806" s="41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1"/>
      <c r="B807" s="41"/>
      <c r="C807" s="45"/>
      <c r="D807" s="45"/>
      <c r="E807" s="41"/>
      <c r="F807" s="41"/>
      <c r="G807" s="41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1"/>
      <c r="B808" s="41"/>
      <c r="C808" s="45"/>
      <c r="D808" s="45"/>
      <c r="E808" s="41"/>
      <c r="F808" s="41"/>
      <c r="G808" s="41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1"/>
      <c r="B809" s="41"/>
      <c r="C809" s="45"/>
      <c r="D809" s="45"/>
      <c r="E809" s="41"/>
      <c r="F809" s="41"/>
      <c r="G809" s="41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1"/>
      <c r="B810" s="41"/>
      <c r="C810" s="45"/>
      <c r="D810" s="45"/>
      <c r="E810" s="41"/>
      <c r="F810" s="41"/>
      <c r="G810" s="41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1"/>
      <c r="B811" s="41"/>
      <c r="C811" s="45"/>
      <c r="D811" s="45"/>
      <c r="E811" s="41"/>
      <c r="F811" s="41"/>
      <c r="G811" s="41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1"/>
      <c r="B812" s="41"/>
      <c r="C812" s="45"/>
      <c r="D812" s="45"/>
      <c r="E812" s="41"/>
      <c r="F812" s="41"/>
      <c r="G812" s="41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1"/>
      <c r="B813" s="41"/>
      <c r="C813" s="45"/>
      <c r="D813" s="45"/>
      <c r="E813" s="41"/>
      <c r="F813" s="41"/>
      <c r="G813" s="41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1"/>
      <c r="B814" s="41"/>
      <c r="C814" s="45"/>
      <c r="D814" s="45"/>
      <c r="E814" s="41"/>
      <c r="F814" s="41"/>
      <c r="G814" s="41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1"/>
      <c r="B815" s="41"/>
      <c r="C815" s="45"/>
      <c r="D815" s="45"/>
      <c r="E815" s="41"/>
      <c r="F815" s="41"/>
      <c r="G815" s="41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1"/>
      <c r="B816" s="41"/>
      <c r="C816" s="45"/>
      <c r="D816" s="45"/>
      <c r="E816" s="41"/>
      <c r="F816" s="41"/>
      <c r="G816" s="41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1"/>
      <c r="B817" s="41"/>
      <c r="C817" s="45"/>
      <c r="D817" s="45"/>
      <c r="E817" s="41"/>
      <c r="F817" s="41"/>
      <c r="G817" s="41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1"/>
      <c r="B818" s="41"/>
      <c r="C818" s="45"/>
      <c r="D818" s="45"/>
      <c r="E818" s="41"/>
      <c r="F818" s="41"/>
      <c r="G818" s="41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1"/>
      <c r="B819" s="41"/>
      <c r="C819" s="45"/>
      <c r="D819" s="45"/>
      <c r="E819" s="41"/>
      <c r="F819" s="41"/>
      <c r="G819" s="41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1"/>
      <c r="B820" s="41"/>
      <c r="C820" s="45"/>
      <c r="D820" s="45"/>
      <c r="E820" s="41"/>
      <c r="F820" s="41"/>
      <c r="G820" s="41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1"/>
      <c r="B821" s="41"/>
      <c r="C821" s="45"/>
      <c r="D821" s="45"/>
      <c r="E821" s="41"/>
      <c r="F821" s="41"/>
      <c r="G821" s="41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1"/>
      <c r="B822" s="41"/>
      <c r="C822" s="45"/>
      <c r="D822" s="45"/>
      <c r="E822" s="41"/>
      <c r="F822" s="41"/>
      <c r="G822" s="41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1"/>
      <c r="B823" s="41"/>
      <c r="C823" s="45"/>
      <c r="D823" s="45"/>
      <c r="E823" s="41"/>
      <c r="F823" s="41"/>
      <c r="G823" s="41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1"/>
      <c r="B824" s="41"/>
      <c r="C824" s="45"/>
      <c r="D824" s="45"/>
      <c r="E824" s="41"/>
      <c r="F824" s="41"/>
      <c r="G824" s="41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1"/>
      <c r="B825" s="41"/>
      <c r="C825" s="45"/>
      <c r="D825" s="45"/>
      <c r="E825" s="41"/>
      <c r="F825" s="41"/>
      <c r="G825" s="41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1"/>
      <c r="B826" s="41"/>
      <c r="C826" s="45"/>
      <c r="D826" s="45"/>
      <c r="E826" s="41"/>
      <c r="F826" s="41"/>
      <c r="G826" s="41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1"/>
      <c r="B827" s="41"/>
      <c r="C827" s="45"/>
      <c r="D827" s="45"/>
      <c r="E827" s="41"/>
      <c r="F827" s="41"/>
      <c r="G827" s="41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1"/>
      <c r="B828" s="41"/>
      <c r="C828" s="45"/>
      <c r="D828" s="45"/>
      <c r="E828" s="41"/>
      <c r="F828" s="41"/>
      <c r="G828" s="41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1"/>
      <c r="B829" s="41"/>
      <c r="C829" s="45"/>
      <c r="D829" s="45"/>
      <c r="E829" s="41"/>
      <c r="F829" s="41"/>
      <c r="G829" s="41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1"/>
      <c r="B830" s="41"/>
      <c r="C830" s="45"/>
      <c r="D830" s="45"/>
      <c r="E830" s="41"/>
      <c r="F830" s="41"/>
      <c r="G830" s="41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1"/>
      <c r="B831" s="41"/>
      <c r="C831" s="45"/>
      <c r="D831" s="45"/>
      <c r="E831" s="41"/>
      <c r="F831" s="41"/>
      <c r="G831" s="41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1"/>
      <c r="B832" s="41"/>
      <c r="C832" s="45"/>
      <c r="D832" s="45"/>
      <c r="E832" s="41"/>
      <c r="F832" s="41"/>
      <c r="G832" s="41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1"/>
      <c r="B833" s="41"/>
      <c r="C833" s="45"/>
      <c r="D833" s="45"/>
      <c r="E833" s="41"/>
      <c r="F833" s="41"/>
      <c r="G833" s="41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1"/>
      <c r="B834" s="41"/>
      <c r="C834" s="45"/>
      <c r="D834" s="45"/>
      <c r="E834" s="41"/>
      <c r="F834" s="41"/>
      <c r="G834" s="41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1"/>
      <c r="B835" s="41"/>
      <c r="C835" s="45"/>
      <c r="D835" s="45"/>
      <c r="E835" s="41"/>
      <c r="F835" s="41"/>
      <c r="G835" s="41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1"/>
      <c r="B836" s="41"/>
      <c r="C836" s="45"/>
      <c r="D836" s="45"/>
      <c r="E836" s="41"/>
      <c r="F836" s="41"/>
      <c r="G836" s="41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1"/>
      <c r="B837" s="41"/>
      <c r="C837" s="45"/>
      <c r="D837" s="45"/>
      <c r="E837" s="41"/>
      <c r="F837" s="41"/>
      <c r="G837" s="41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1"/>
      <c r="B838" s="41"/>
      <c r="C838" s="45"/>
      <c r="D838" s="45"/>
      <c r="E838" s="41"/>
      <c r="F838" s="41"/>
      <c r="G838" s="41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1"/>
      <c r="B839" s="41"/>
      <c r="C839" s="45"/>
      <c r="D839" s="45"/>
      <c r="E839" s="41"/>
      <c r="F839" s="41"/>
      <c r="G839" s="41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1"/>
      <c r="B840" s="41"/>
      <c r="C840" s="45"/>
      <c r="D840" s="45"/>
      <c r="E840" s="41"/>
      <c r="F840" s="41"/>
      <c r="G840" s="41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1"/>
      <c r="B841" s="41"/>
      <c r="C841" s="45"/>
      <c r="D841" s="45"/>
      <c r="E841" s="41"/>
      <c r="F841" s="41"/>
      <c r="G841" s="41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1"/>
      <c r="B842" s="41"/>
      <c r="C842" s="45"/>
      <c r="D842" s="45"/>
      <c r="E842" s="41"/>
      <c r="F842" s="41"/>
      <c r="G842" s="41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1"/>
      <c r="B843" s="41"/>
      <c r="C843" s="45"/>
      <c r="D843" s="45"/>
      <c r="E843" s="41"/>
      <c r="F843" s="41"/>
      <c r="G843" s="41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1"/>
      <c r="B844" s="41"/>
      <c r="C844" s="45"/>
      <c r="D844" s="45"/>
      <c r="E844" s="41"/>
      <c r="F844" s="41"/>
      <c r="G844" s="41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1"/>
      <c r="B845" s="41"/>
      <c r="C845" s="45"/>
      <c r="D845" s="45"/>
      <c r="E845" s="41"/>
      <c r="F845" s="41"/>
      <c r="G845" s="41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1"/>
      <c r="B846" s="41"/>
      <c r="C846" s="45"/>
      <c r="D846" s="45"/>
      <c r="E846" s="41"/>
      <c r="F846" s="41"/>
      <c r="G846" s="41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1"/>
      <c r="B847" s="41"/>
      <c r="C847" s="45"/>
      <c r="D847" s="45"/>
      <c r="E847" s="41"/>
      <c r="F847" s="41"/>
      <c r="G847" s="41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1"/>
      <c r="B848" s="41"/>
      <c r="C848" s="45"/>
      <c r="D848" s="45"/>
      <c r="E848" s="41"/>
      <c r="F848" s="41"/>
      <c r="G848" s="41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1"/>
      <c r="B849" s="41"/>
      <c r="C849" s="45"/>
      <c r="D849" s="45"/>
      <c r="E849" s="41"/>
      <c r="F849" s="41"/>
      <c r="G849" s="41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1"/>
      <c r="B850" s="41"/>
      <c r="C850" s="45"/>
      <c r="D850" s="45"/>
      <c r="E850" s="41"/>
      <c r="F850" s="41"/>
      <c r="G850" s="41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1"/>
      <c r="B851" s="41"/>
      <c r="C851" s="45"/>
      <c r="D851" s="45"/>
      <c r="E851" s="41"/>
      <c r="F851" s="41"/>
      <c r="G851" s="41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1"/>
      <c r="B852" s="41"/>
      <c r="C852" s="45"/>
      <c r="D852" s="45"/>
      <c r="E852" s="41"/>
      <c r="F852" s="41"/>
      <c r="G852" s="41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1"/>
      <c r="B853" s="41"/>
      <c r="C853" s="45"/>
      <c r="D853" s="45"/>
      <c r="E853" s="41"/>
      <c r="F853" s="41"/>
      <c r="G853" s="41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1"/>
      <c r="B854" s="41"/>
      <c r="C854" s="45"/>
      <c r="D854" s="45"/>
      <c r="E854" s="41"/>
      <c r="F854" s="41"/>
      <c r="G854" s="41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1"/>
      <c r="B855" s="41"/>
      <c r="C855" s="45"/>
      <c r="D855" s="45"/>
      <c r="E855" s="41"/>
      <c r="F855" s="41"/>
      <c r="G855" s="41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1"/>
      <c r="B856" s="41"/>
      <c r="C856" s="45"/>
      <c r="D856" s="45"/>
      <c r="E856" s="41"/>
      <c r="F856" s="41"/>
      <c r="G856" s="41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1"/>
      <c r="B857" s="41"/>
      <c r="C857" s="45"/>
      <c r="D857" s="45"/>
      <c r="E857" s="41"/>
      <c r="F857" s="41"/>
      <c r="G857" s="41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1"/>
      <c r="B858" s="41"/>
      <c r="C858" s="45"/>
      <c r="D858" s="45"/>
      <c r="E858" s="41"/>
      <c r="F858" s="41"/>
      <c r="G858" s="41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1"/>
      <c r="B859" s="41"/>
      <c r="C859" s="45"/>
      <c r="D859" s="45"/>
      <c r="E859" s="41"/>
      <c r="F859" s="41"/>
      <c r="G859" s="41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1"/>
      <c r="B860" s="41"/>
      <c r="C860" s="45"/>
      <c r="D860" s="45"/>
      <c r="E860" s="41"/>
      <c r="F860" s="41"/>
      <c r="G860" s="41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1"/>
      <c r="B861" s="41"/>
      <c r="C861" s="45"/>
      <c r="D861" s="45"/>
      <c r="E861" s="41"/>
      <c r="F861" s="41"/>
      <c r="G861" s="41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1"/>
      <c r="B862" s="41"/>
      <c r="C862" s="45"/>
      <c r="D862" s="45"/>
      <c r="E862" s="41"/>
      <c r="F862" s="41"/>
      <c r="G862" s="41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1"/>
      <c r="B863" s="41"/>
      <c r="C863" s="45"/>
      <c r="D863" s="45"/>
      <c r="E863" s="41"/>
      <c r="F863" s="41"/>
      <c r="G863" s="41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1"/>
      <c r="B864" s="41"/>
      <c r="C864" s="45"/>
      <c r="D864" s="45"/>
      <c r="E864" s="41"/>
      <c r="F864" s="41"/>
      <c r="G864" s="41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1"/>
      <c r="B865" s="41"/>
      <c r="C865" s="45"/>
      <c r="D865" s="45"/>
      <c r="E865" s="41"/>
      <c r="F865" s="41"/>
      <c r="G865" s="41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1"/>
      <c r="B866" s="41"/>
      <c r="C866" s="45"/>
      <c r="D866" s="45"/>
      <c r="E866" s="41"/>
      <c r="F866" s="41"/>
      <c r="G866" s="41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1"/>
      <c r="B867" s="41"/>
      <c r="C867" s="45"/>
      <c r="D867" s="45"/>
      <c r="E867" s="41"/>
      <c r="F867" s="41"/>
      <c r="G867" s="41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1"/>
      <c r="B868" s="41"/>
      <c r="C868" s="45"/>
      <c r="D868" s="45"/>
      <c r="E868" s="41"/>
      <c r="F868" s="41"/>
      <c r="G868" s="41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1"/>
      <c r="B869" s="41"/>
      <c r="C869" s="45"/>
      <c r="D869" s="45"/>
      <c r="E869" s="41"/>
      <c r="F869" s="41"/>
      <c r="G869" s="41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1"/>
      <c r="B870" s="41"/>
      <c r="C870" s="45"/>
      <c r="D870" s="45"/>
      <c r="E870" s="41"/>
      <c r="F870" s="41"/>
      <c r="G870" s="41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1"/>
      <c r="B871" s="41"/>
      <c r="C871" s="45"/>
      <c r="D871" s="45"/>
      <c r="E871" s="41"/>
      <c r="F871" s="41"/>
      <c r="G871" s="41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1"/>
      <c r="B872" s="41"/>
      <c r="C872" s="45"/>
      <c r="D872" s="45"/>
      <c r="E872" s="41"/>
      <c r="F872" s="41"/>
      <c r="G872" s="41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1"/>
      <c r="B873" s="41"/>
      <c r="C873" s="45"/>
      <c r="D873" s="45"/>
      <c r="E873" s="41"/>
      <c r="F873" s="41"/>
      <c r="G873" s="41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1"/>
      <c r="B874" s="41"/>
      <c r="C874" s="45"/>
      <c r="D874" s="45"/>
      <c r="E874" s="41"/>
      <c r="F874" s="41"/>
      <c r="G874" s="41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1"/>
      <c r="B875" s="41"/>
      <c r="C875" s="45"/>
      <c r="D875" s="45"/>
      <c r="E875" s="41"/>
      <c r="F875" s="41"/>
      <c r="G875" s="41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1"/>
      <c r="B876" s="41"/>
      <c r="C876" s="45"/>
      <c r="D876" s="45"/>
      <c r="E876" s="41"/>
      <c r="F876" s="41"/>
      <c r="G876" s="41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1"/>
      <c r="B877" s="41"/>
      <c r="C877" s="45"/>
      <c r="D877" s="45"/>
      <c r="E877" s="41"/>
      <c r="F877" s="41"/>
      <c r="G877" s="41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1"/>
      <c r="B878" s="41"/>
      <c r="C878" s="45"/>
      <c r="D878" s="45"/>
      <c r="E878" s="41"/>
      <c r="F878" s="41"/>
      <c r="G878" s="41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1"/>
      <c r="B879" s="41"/>
      <c r="C879" s="45"/>
      <c r="D879" s="45"/>
      <c r="E879" s="41"/>
      <c r="F879" s="41"/>
      <c r="G879" s="41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1"/>
      <c r="B880" s="41"/>
      <c r="C880" s="45"/>
      <c r="D880" s="45"/>
      <c r="E880" s="41"/>
      <c r="F880" s="41"/>
      <c r="G880" s="41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1"/>
      <c r="B881" s="41"/>
      <c r="C881" s="45"/>
      <c r="D881" s="45"/>
      <c r="E881" s="41"/>
      <c r="F881" s="41"/>
      <c r="G881" s="41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1"/>
      <c r="B882" s="41"/>
      <c r="C882" s="45"/>
      <c r="D882" s="45"/>
      <c r="E882" s="41"/>
      <c r="F882" s="41"/>
      <c r="G882" s="41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1"/>
      <c r="B883" s="41"/>
      <c r="C883" s="45"/>
      <c r="D883" s="45"/>
      <c r="E883" s="41"/>
      <c r="F883" s="41"/>
      <c r="G883" s="41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1"/>
      <c r="B884" s="41"/>
      <c r="C884" s="45"/>
      <c r="D884" s="45"/>
      <c r="E884" s="41"/>
      <c r="F884" s="41"/>
      <c r="G884" s="41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1"/>
      <c r="B885" s="41"/>
      <c r="C885" s="45"/>
      <c r="D885" s="45"/>
      <c r="E885" s="41"/>
      <c r="F885" s="41"/>
      <c r="G885" s="41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1"/>
      <c r="B886" s="41"/>
      <c r="C886" s="45"/>
      <c r="D886" s="45"/>
      <c r="E886" s="41"/>
      <c r="F886" s="41"/>
      <c r="G886" s="41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1"/>
      <c r="B887" s="41"/>
      <c r="C887" s="45"/>
      <c r="D887" s="45"/>
      <c r="E887" s="41"/>
      <c r="F887" s="41"/>
      <c r="G887" s="41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1"/>
      <c r="B888" s="41"/>
      <c r="C888" s="45"/>
      <c r="D888" s="45"/>
      <c r="E888" s="41"/>
      <c r="F888" s="41"/>
      <c r="G888" s="41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1"/>
      <c r="B889" s="41"/>
      <c r="C889" s="45"/>
      <c r="D889" s="45"/>
      <c r="E889" s="41"/>
      <c r="F889" s="41"/>
      <c r="G889" s="41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1"/>
      <c r="B890" s="41"/>
      <c r="C890" s="45"/>
      <c r="D890" s="45"/>
      <c r="E890" s="41"/>
      <c r="F890" s="41"/>
      <c r="G890" s="41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1"/>
      <c r="B891" s="41"/>
      <c r="C891" s="45"/>
      <c r="D891" s="45"/>
      <c r="E891" s="41"/>
      <c r="F891" s="41"/>
      <c r="G891" s="41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1"/>
      <c r="B892" s="41"/>
      <c r="C892" s="45"/>
      <c r="D892" s="45"/>
      <c r="E892" s="41"/>
      <c r="F892" s="41"/>
      <c r="G892" s="41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1"/>
      <c r="B893" s="41"/>
      <c r="C893" s="45"/>
      <c r="D893" s="45"/>
      <c r="E893" s="41"/>
      <c r="F893" s="41"/>
      <c r="G893" s="41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1"/>
      <c r="B894" s="41"/>
      <c r="C894" s="45"/>
      <c r="D894" s="45"/>
      <c r="E894" s="41"/>
      <c r="F894" s="41"/>
      <c r="G894" s="41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1"/>
      <c r="B895" s="41"/>
      <c r="C895" s="45"/>
      <c r="D895" s="45"/>
      <c r="E895" s="41"/>
      <c r="F895" s="41"/>
      <c r="G895" s="41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1"/>
      <c r="B896" s="41"/>
      <c r="C896" s="45"/>
      <c r="D896" s="45"/>
      <c r="E896" s="41"/>
      <c r="F896" s="41"/>
      <c r="G896" s="41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1"/>
      <c r="B897" s="41"/>
      <c r="C897" s="45"/>
      <c r="D897" s="45"/>
      <c r="E897" s="41"/>
      <c r="F897" s="41"/>
      <c r="G897" s="41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1"/>
      <c r="B898" s="41"/>
      <c r="C898" s="45"/>
      <c r="D898" s="45"/>
      <c r="E898" s="41"/>
      <c r="F898" s="41"/>
      <c r="G898" s="41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1"/>
      <c r="B899" s="41"/>
      <c r="C899" s="45"/>
      <c r="D899" s="45"/>
      <c r="E899" s="41"/>
      <c r="F899" s="41"/>
      <c r="G899" s="41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1"/>
      <c r="B900" s="41"/>
      <c r="C900" s="45"/>
      <c r="D900" s="45"/>
      <c r="E900" s="41"/>
      <c r="F900" s="41"/>
      <c r="G900" s="41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1"/>
      <c r="B901" s="41"/>
      <c r="C901" s="45"/>
      <c r="D901" s="45"/>
      <c r="E901" s="41"/>
      <c r="F901" s="41"/>
      <c r="G901" s="41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1"/>
      <c r="B902" s="41"/>
      <c r="C902" s="45"/>
      <c r="D902" s="45"/>
      <c r="E902" s="41"/>
      <c r="F902" s="41"/>
      <c r="G902" s="41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1"/>
      <c r="B903" s="41"/>
      <c r="C903" s="45"/>
      <c r="D903" s="45"/>
      <c r="E903" s="41"/>
      <c r="F903" s="41"/>
      <c r="G903" s="41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1"/>
      <c r="B904" s="41"/>
      <c r="C904" s="45"/>
      <c r="D904" s="45"/>
      <c r="E904" s="41"/>
      <c r="F904" s="41"/>
      <c r="G904" s="41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1"/>
      <c r="B905" s="41"/>
      <c r="C905" s="45"/>
      <c r="D905" s="45"/>
      <c r="E905" s="41"/>
      <c r="F905" s="41"/>
      <c r="G905" s="41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1"/>
      <c r="B906" s="41"/>
      <c r="C906" s="45"/>
      <c r="D906" s="45"/>
      <c r="E906" s="41"/>
      <c r="F906" s="41"/>
      <c r="G906" s="41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1"/>
      <c r="B907" s="41"/>
      <c r="C907" s="45"/>
      <c r="D907" s="45"/>
      <c r="E907" s="41"/>
      <c r="F907" s="41"/>
      <c r="G907" s="41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1"/>
      <c r="B908" s="41"/>
      <c r="C908" s="45"/>
      <c r="D908" s="45"/>
      <c r="E908" s="41"/>
      <c r="F908" s="41"/>
      <c r="G908" s="41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1"/>
      <c r="B909" s="41"/>
      <c r="C909" s="45"/>
      <c r="D909" s="45"/>
      <c r="E909" s="41"/>
      <c r="F909" s="41"/>
      <c r="G909" s="41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1"/>
      <c r="B910" s="41"/>
      <c r="C910" s="45"/>
      <c r="D910" s="45"/>
      <c r="E910" s="41"/>
      <c r="F910" s="41"/>
      <c r="G910" s="41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1"/>
      <c r="B911" s="41"/>
      <c r="C911" s="45"/>
      <c r="D911" s="45"/>
      <c r="E911" s="41"/>
      <c r="F911" s="41"/>
      <c r="G911" s="41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1"/>
      <c r="B912" s="41"/>
      <c r="C912" s="45"/>
      <c r="D912" s="45"/>
      <c r="E912" s="41"/>
      <c r="F912" s="41"/>
      <c r="G912" s="41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1"/>
      <c r="B913" s="41"/>
      <c r="C913" s="45"/>
      <c r="D913" s="45"/>
      <c r="E913" s="41"/>
      <c r="F913" s="41"/>
      <c r="G913" s="41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1"/>
      <c r="B914" s="41"/>
      <c r="C914" s="45"/>
      <c r="D914" s="45"/>
      <c r="E914" s="41"/>
      <c r="F914" s="41"/>
      <c r="G914" s="41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1"/>
      <c r="B915" s="41"/>
      <c r="C915" s="45"/>
      <c r="D915" s="45"/>
      <c r="E915" s="41"/>
      <c r="F915" s="41"/>
      <c r="G915" s="41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1"/>
      <c r="B916" s="41"/>
      <c r="C916" s="45"/>
      <c r="D916" s="45"/>
      <c r="E916" s="41"/>
      <c r="F916" s="41"/>
      <c r="G916" s="41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1"/>
      <c r="B917" s="41"/>
      <c r="C917" s="45"/>
      <c r="D917" s="45"/>
      <c r="E917" s="41"/>
      <c r="F917" s="41"/>
      <c r="G917" s="41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1"/>
      <c r="B918" s="41"/>
      <c r="C918" s="45"/>
      <c r="D918" s="45"/>
      <c r="E918" s="41"/>
      <c r="F918" s="41"/>
      <c r="G918" s="41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1"/>
      <c r="B919" s="41"/>
      <c r="C919" s="45"/>
      <c r="D919" s="45"/>
      <c r="E919" s="41"/>
      <c r="F919" s="41"/>
      <c r="G919" s="41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1"/>
      <c r="B920" s="41"/>
      <c r="C920" s="45"/>
      <c r="D920" s="45"/>
      <c r="E920" s="41"/>
      <c r="F920" s="41"/>
      <c r="G920" s="41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1"/>
      <c r="B921" s="41"/>
      <c r="C921" s="45"/>
      <c r="D921" s="45"/>
      <c r="E921" s="41"/>
      <c r="F921" s="41"/>
      <c r="G921" s="41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1"/>
      <c r="B922" s="41"/>
      <c r="C922" s="45"/>
      <c r="D922" s="45"/>
      <c r="E922" s="41"/>
      <c r="F922" s="41"/>
      <c r="G922" s="41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1"/>
      <c r="B923" s="41"/>
      <c r="C923" s="45"/>
      <c r="D923" s="45"/>
      <c r="E923" s="41"/>
      <c r="F923" s="41"/>
      <c r="G923" s="41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1"/>
      <c r="B924" s="41"/>
      <c r="C924" s="45"/>
      <c r="D924" s="45"/>
      <c r="E924" s="41"/>
      <c r="F924" s="41"/>
      <c r="G924" s="41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1"/>
      <c r="B925" s="41"/>
      <c r="C925" s="45"/>
      <c r="D925" s="45"/>
      <c r="E925" s="41"/>
      <c r="F925" s="41"/>
      <c r="G925" s="41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1"/>
      <c r="B926" s="41"/>
      <c r="C926" s="45"/>
      <c r="D926" s="45"/>
      <c r="E926" s="41"/>
      <c r="F926" s="41"/>
      <c r="G926" s="41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1"/>
      <c r="B927" s="41"/>
      <c r="C927" s="45"/>
      <c r="D927" s="45"/>
      <c r="E927" s="41"/>
      <c r="F927" s="41"/>
      <c r="G927" s="41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1"/>
      <c r="B928" s="41"/>
      <c r="C928" s="45"/>
      <c r="D928" s="45"/>
      <c r="E928" s="41"/>
      <c r="F928" s="41"/>
      <c r="G928" s="41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1"/>
      <c r="B929" s="41"/>
      <c r="C929" s="45"/>
      <c r="D929" s="45"/>
      <c r="E929" s="41"/>
      <c r="F929" s="41"/>
      <c r="G929" s="41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1"/>
      <c r="B930" s="41"/>
      <c r="C930" s="45"/>
      <c r="D930" s="45"/>
      <c r="E930" s="41"/>
      <c r="F930" s="41"/>
      <c r="G930" s="41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1"/>
      <c r="B931" s="41"/>
      <c r="C931" s="45"/>
      <c r="D931" s="45"/>
      <c r="E931" s="41"/>
      <c r="F931" s="41"/>
      <c r="G931" s="41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1"/>
      <c r="B932" s="41"/>
      <c r="C932" s="45"/>
      <c r="D932" s="45"/>
      <c r="E932" s="41"/>
      <c r="F932" s="41"/>
      <c r="G932" s="41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1"/>
      <c r="B933" s="41"/>
      <c r="C933" s="45"/>
      <c r="D933" s="45"/>
      <c r="E933" s="41"/>
      <c r="F933" s="41"/>
      <c r="G933" s="41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1"/>
      <c r="B934" s="41"/>
      <c r="C934" s="45"/>
      <c r="D934" s="45"/>
      <c r="E934" s="41"/>
      <c r="F934" s="41"/>
      <c r="G934" s="41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1"/>
      <c r="B935" s="41"/>
      <c r="C935" s="45"/>
      <c r="D935" s="45"/>
      <c r="E935" s="41"/>
      <c r="F935" s="41"/>
      <c r="G935" s="41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1"/>
      <c r="B936" s="41"/>
      <c r="C936" s="45"/>
      <c r="D936" s="45"/>
      <c r="E936" s="41"/>
      <c r="F936" s="41"/>
      <c r="G936" s="41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1"/>
      <c r="B937" s="41"/>
      <c r="C937" s="45"/>
      <c r="D937" s="45"/>
      <c r="E937" s="41"/>
      <c r="F937" s="41"/>
      <c r="G937" s="41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1"/>
      <c r="B938" s="41"/>
      <c r="C938" s="45"/>
      <c r="D938" s="45"/>
      <c r="E938" s="41"/>
      <c r="F938" s="41"/>
      <c r="G938" s="41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1"/>
      <c r="B939" s="41"/>
      <c r="C939" s="45"/>
      <c r="D939" s="45"/>
      <c r="E939" s="41"/>
      <c r="F939" s="41"/>
      <c r="G939" s="41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1"/>
      <c r="B940" s="41"/>
      <c r="C940" s="45"/>
      <c r="D940" s="45"/>
      <c r="E940" s="41"/>
      <c r="F940" s="41"/>
      <c r="G940" s="41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1"/>
      <c r="B941" s="41"/>
      <c r="C941" s="45"/>
      <c r="D941" s="45"/>
      <c r="E941" s="41"/>
      <c r="F941" s="41"/>
      <c r="G941" s="41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1"/>
      <c r="B942" s="41"/>
      <c r="C942" s="45"/>
      <c r="D942" s="45"/>
      <c r="E942" s="41"/>
      <c r="F942" s="41"/>
      <c r="G942" s="41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1"/>
      <c r="B943" s="41"/>
      <c r="C943" s="45"/>
      <c r="D943" s="45"/>
      <c r="E943" s="41"/>
      <c r="F943" s="41"/>
      <c r="G943" s="41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1"/>
      <c r="B944" s="41"/>
      <c r="C944" s="45"/>
      <c r="D944" s="45"/>
      <c r="E944" s="41"/>
      <c r="F944" s="41"/>
      <c r="G944" s="41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1"/>
      <c r="B945" s="41"/>
      <c r="C945" s="45"/>
      <c r="D945" s="45"/>
      <c r="E945" s="41"/>
      <c r="F945" s="41"/>
      <c r="G945" s="41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1"/>
      <c r="B946" s="41"/>
      <c r="C946" s="45"/>
      <c r="D946" s="45"/>
      <c r="E946" s="41"/>
      <c r="F946" s="41"/>
      <c r="G946" s="41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1"/>
      <c r="B947" s="41"/>
      <c r="C947" s="45"/>
      <c r="D947" s="45"/>
      <c r="E947" s="41"/>
      <c r="F947" s="41"/>
      <c r="G947" s="41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1"/>
      <c r="B948" s="41"/>
      <c r="C948" s="45"/>
      <c r="D948" s="45"/>
      <c r="E948" s="41"/>
      <c r="F948" s="41"/>
      <c r="G948" s="41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1"/>
      <c r="B949" s="41"/>
      <c r="C949" s="45"/>
      <c r="D949" s="45"/>
      <c r="E949" s="41"/>
      <c r="F949" s="41"/>
      <c r="G949" s="41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1"/>
      <c r="B950" s="41"/>
      <c r="C950" s="45"/>
      <c r="D950" s="45"/>
      <c r="E950" s="41"/>
      <c r="F950" s="41"/>
      <c r="G950" s="41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1"/>
      <c r="B951" s="41"/>
      <c r="C951" s="45"/>
      <c r="D951" s="45"/>
      <c r="E951" s="41"/>
      <c r="F951" s="41"/>
      <c r="G951" s="41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1"/>
      <c r="B952" s="41"/>
      <c r="C952" s="45"/>
      <c r="D952" s="45"/>
      <c r="E952" s="41"/>
      <c r="F952" s="41"/>
      <c r="G952" s="41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1"/>
      <c r="B953" s="41"/>
      <c r="C953" s="45"/>
      <c r="D953" s="45"/>
      <c r="E953" s="41"/>
      <c r="F953" s="41"/>
      <c r="G953" s="41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1"/>
      <c r="B954" s="41"/>
      <c r="C954" s="45"/>
      <c r="D954" s="45"/>
      <c r="E954" s="41"/>
      <c r="F954" s="41"/>
      <c r="G954" s="41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1"/>
      <c r="B955" s="41"/>
      <c r="C955" s="45"/>
      <c r="D955" s="45"/>
      <c r="E955" s="41"/>
      <c r="F955" s="41"/>
      <c r="G955" s="41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1"/>
      <c r="B956" s="41"/>
      <c r="C956" s="45"/>
      <c r="D956" s="45"/>
      <c r="E956" s="41"/>
      <c r="F956" s="41"/>
      <c r="G956" s="41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1"/>
      <c r="B957" s="41"/>
      <c r="C957" s="45"/>
      <c r="D957" s="45"/>
      <c r="E957" s="41"/>
      <c r="F957" s="41"/>
      <c r="G957" s="41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1"/>
      <c r="B958" s="41"/>
      <c r="C958" s="45"/>
      <c r="D958" s="45"/>
      <c r="E958" s="41"/>
      <c r="F958" s="41"/>
      <c r="G958" s="41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1"/>
      <c r="B959" s="41"/>
      <c r="C959" s="45"/>
      <c r="D959" s="45"/>
      <c r="E959" s="41"/>
      <c r="F959" s="41"/>
      <c r="G959" s="41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1"/>
      <c r="B960" s="41"/>
      <c r="C960" s="45"/>
      <c r="D960" s="45"/>
      <c r="E960" s="41"/>
      <c r="F960" s="41"/>
      <c r="G960" s="41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1"/>
      <c r="B961" s="41"/>
      <c r="C961" s="45"/>
      <c r="D961" s="45"/>
      <c r="E961" s="41"/>
      <c r="F961" s="41"/>
      <c r="G961" s="41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1"/>
      <c r="B962" s="41"/>
      <c r="C962" s="45"/>
      <c r="D962" s="45"/>
      <c r="E962" s="41"/>
      <c r="F962" s="41"/>
      <c r="G962" s="41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1"/>
      <c r="B963" s="41"/>
      <c r="C963" s="45"/>
      <c r="D963" s="45"/>
      <c r="E963" s="41"/>
      <c r="F963" s="41"/>
      <c r="G963" s="41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1"/>
      <c r="B964" s="41"/>
      <c r="C964" s="45"/>
      <c r="D964" s="45"/>
      <c r="E964" s="41"/>
      <c r="F964" s="41"/>
      <c r="G964" s="41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1"/>
      <c r="B965" s="41"/>
      <c r="C965" s="45"/>
      <c r="D965" s="45"/>
      <c r="E965" s="41"/>
      <c r="F965" s="41"/>
      <c r="G965" s="41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1"/>
      <c r="B966" s="41"/>
      <c r="C966" s="45"/>
      <c r="D966" s="45"/>
      <c r="E966" s="41"/>
      <c r="F966" s="41"/>
      <c r="G966" s="41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1"/>
      <c r="B967" s="41"/>
      <c r="C967" s="45"/>
      <c r="D967" s="45"/>
      <c r="E967" s="41"/>
      <c r="F967" s="41"/>
      <c r="G967" s="41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1"/>
      <c r="B968" s="41"/>
      <c r="C968" s="45"/>
      <c r="D968" s="45"/>
      <c r="E968" s="41"/>
      <c r="F968" s="41"/>
      <c r="G968" s="41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1"/>
      <c r="B969" s="41"/>
      <c r="C969" s="45"/>
      <c r="D969" s="45"/>
      <c r="E969" s="41"/>
      <c r="F969" s="41"/>
      <c r="G969" s="41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1"/>
      <c r="B970" s="41"/>
      <c r="C970" s="45"/>
      <c r="D970" s="45"/>
      <c r="E970" s="41"/>
      <c r="F970" s="41"/>
      <c r="G970" s="41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1"/>
      <c r="B971" s="41"/>
      <c r="C971" s="45"/>
      <c r="D971" s="45"/>
      <c r="E971" s="41"/>
      <c r="F971" s="41"/>
      <c r="G971" s="41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1"/>
      <c r="B972" s="41"/>
      <c r="C972" s="45"/>
      <c r="D972" s="45"/>
      <c r="E972" s="41"/>
      <c r="F972" s="41"/>
      <c r="G972" s="41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1"/>
      <c r="B973" s="41"/>
      <c r="C973" s="45"/>
      <c r="D973" s="45"/>
      <c r="E973" s="41"/>
      <c r="F973" s="41"/>
      <c r="G973" s="41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1"/>
      <c r="B974" s="41"/>
      <c r="C974" s="45"/>
      <c r="D974" s="45"/>
      <c r="E974" s="41"/>
      <c r="F974" s="41"/>
      <c r="G974" s="41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1"/>
      <c r="B975" s="41"/>
      <c r="C975" s="45"/>
      <c r="D975" s="45"/>
      <c r="E975" s="41"/>
      <c r="F975" s="41"/>
      <c r="G975" s="41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1"/>
      <c r="B976" s="41"/>
      <c r="C976" s="45"/>
      <c r="D976" s="45"/>
      <c r="E976" s="41"/>
      <c r="F976" s="41"/>
      <c r="G976" s="41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1"/>
      <c r="B977" s="41"/>
      <c r="C977" s="45"/>
      <c r="D977" s="45"/>
      <c r="E977" s="41"/>
      <c r="F977" s="41"/>
      <c r="G977" s="41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1"/>
      <c r="B978" s="41"/>
      <c r="C978" s="45"/>
      <c r="D978" s="45"/>
      <c r="E978" s="41"/>
      <c r="F978" s="41"/>
      <c r="G978" s="41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1"/>
      <c r="B979" s="41"/>
      <c r="C979" s="45"/>
      <c r="D979" s="45"/>
      <c r="E979" s="41"/>
      <c r="F979" s="41"/>
      <c r="G979" s="41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1"/>
      <c r="B980" s="41"/>
      <c r="C980" s="45"/>
      <c r="D980" s="45"/>
      <c r="E980" s="41"/>
      <c r="F980" s="41"/>
      <c r="G980" s="41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1"/>
      <c r="B981" s="41"/>
      <c r="C981" s="45"/>
      <c r="D981" s="45"/>
      <c r="E981" s="41"/>
      <c r="F981" s="41"/>
      <c r="G981" s="41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1"/>
      <c r="B982" s="41"/>
      <c r="C982" s="45"/>
      <c r="D982" s="45"/>
      <c r="E982" s="41"/>
      <c r="F982" s="41"/>
      <c r="G982" s="41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1"/>
      <c r="B983" s="41"/>
      <c r="C983" s="45"/>
      <c r="D983" s="45"/>
      <c r="E983" s="41"/>
      <c r="F983" s="41"/>
      <c r="G983" s="41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1"/>
      <c r="B984" s="41"/>
      <c r="C984" s="45"/>
      <c r="D984" s="45"/>
      <c r="E984" s="41"/>
      <c r="F984" s="41"/>
      <c r="G984" s="41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1"/>
      <c r="B985" s="41"/>
      <c r="C985" s="45"/>
      <c r="D985" s="45"/>
      <c r="E985" s="41"/>
      <c r="F985" s="41"/>
      <c r="G985" s="41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1"/>
      <c r="B986" s="41"/>
      <c r="C986" s="45"/>
      <c r="D986" s="45"/>
      <c r="E986" s="41"/>
      <c r="F986" s="41"/>
      <c r="G986" s="41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1"/>
      <c r="B987" s="41"/>
      <c r="C987" s="45"/>
      <c r="D987" s="45"/>
      <c r="E987" s="41"/>
      <c r="F987" s="41"/>
      <c r="G987" s="41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1"/>
      <c r="B988" s="41"/>
      <c r="C988" s="45"/>
      <c r="D988" s="45"/>
      <c r="E988" s="41"/>
      <c r="F988" s="41"/>
      <c r="G988" s="41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1"/>
      <c r="B989" s="41"/>
      <c r="C989" s="45"/>
      <c r="D989" s="45"/>
      <c r="E989" s="41"/>
      <c r="F989" s="41"/>
      <c r="G989" s="41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1"/>
      <c r="B990" s="41"/>
      <c r="C990" s="45"/>
      <c r="D990" s="45"/>
      <c r="E990" s="41"/>
      <c r="F990" s="41"/>
      <c r="G990" s="41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1"/>
      <c r="B991" s="41"/>
      <c r="C991" s="45"/>
      <c r="D991" s="45"/>
      <c r="E991" s="41"/>
      <c r="F991" s="41"/>
      <c r="G991" s="41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1"/>
      <c r="B992" s="41"/>
      <c r="C992" s="45"/>
      <c r="D992" s="45"/>
      <c r="E992" s="41"/>
      <c r="F992" s="41"/>
      <c r="G992" s="41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1"/>
      <c r="B993" s="41"/>
      <c r="C993" s="45"/>
      <c r="D993" s="45"/>
      <c r="E993" s="41"/>
      <c r="F993" s="41"/>
      <c r="G993" s="41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1"/>
      <c r="B994" s="41"/>
      <c r="C994" s="45"/>
      <c r="D994" s="45"/>
      <c r="E994" s="41"/>
      <c r="F994" s="41"/>
      <c r="G994" s="41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1"/>
      <c r="B995" s="41"/>
      <c r="C995" s="45"/>
      <c r="D995" s="45"/>
      <c r="E995" s="41"/>
      <c r="F995" s="41"/>
      <c r="G995" s="41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1"/>
      <c r="B996" s="41"/>
      <c r="C996" s="45"/>
      <c r="D996" s="45"/>
      <c r="E996" s="41"/>
      <c r="F996" s="41"/>
      <c r="G996" s="41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1"/>
      <c r="B997" s="41"/>
      <c r="C997" s="45"/>
      <c r="D997" s="45"/>
      <c r="E997" s="41"/>
      <c r="F997" s="41"/>
      <c r="G997" s="41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1"/>
      <c r="B998" s="41"/>
      <c r="C998" s="45"/>
      <c r="D998" s="45"/>
      <c r="E998" s="41"/>
      <c r="F998" s="41"/>
      <c r="G998" s="41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1"/>
      <c r="B999" s="41"/>
      <c r="C999" s="45"/>
      <c r="D999" s="45"/>
      <c r="E999" s="41"/>
      <c r="F999" s="41"/>
      <c r="G999" s="41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1"/>
      <c r="B1000" s="41"/>
      <c r="C1000" s="45"/>
      <c r="D1000" s="45"/>
      <c r="E1000" s="41"/>
      <c r="F1000" s="41"/>
      <c r="G1000" s="41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41"/>
      <c r="B1001" s="41"/>
      <c r="C1001" s="45"/>
      <c r="D1001" s="45"/>
      <c r="E1001" s="41"/>
      <c r="F1001" s="41"/>
      <c r="G1001" s="41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A1002" s="41"/>
      <c r="B1002" s="41"/>
      <c r="C1002" s="45"/>
      <c r="D1002" s="45"/>
      <c r="E1002" s="41"/>
      <c r="F1002" s="41"/>
      <c r="G1002" s="41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>
      <c r="A1003" s="41"/>
      <c r="B1003" s="41"/>
      <c r="C1003" s="45"/>
      <c r="D1003" s="45"/>
      <c r="E1003" s="41"/>
      <c r="F1003" s="41"/>
      <c r="G1003" s="41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>
      <c r="A1004" s="41"/>
      <c r="B1004" s="41"/>
      <c r="C1004" s="45"/>
      <c r="D1004" s="45"/>
      <c r="E1004" s="41"/>
      <c r="F1004" s="41"/>
      <c r="G1004" s="41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>
      <c r="A1005" s="41"/>
      <c r="B1005" s="41"/>
      <c r="C1005" s="45"/>
      <c r="D1005" s="45"/>
      <c r="E1005" s="41"/>
      <c r="F1005" s="41"/>
      <c r="G1005" s="41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>
      <c r="A1006" s="41"/>
      <c r="B1006" s="41"/>
      <c r="C1006" s="45"/>
      <c r="D1006" s="45"/>
      <c r="E1006" s="41"/>
      <c r="F1006" s="41"/>
      <c r="G1006" s="41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</sheetData>
  <conditionalFormatting sqref="G3:G1006">
    <cfRule type="containsText" dxfId="0" priority="1" operator="containsText" text="Chicago">
      <formula>NOT(ISERROR(SEARCH(("Chicago"),(G3))))</formula>
    </cfRule>
  </conditionalFormatting>
  <drawing r:id="rId1"/>
</worksheet>
</file>